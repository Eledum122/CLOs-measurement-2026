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abuk university\1448\Latest CLOs measurement 1448\"/>
    </mc:Choice>
  </mc:AlternateContent>
  <xr:revisionPtr revIDLastSave="0" documentId="13_ncr:1_{999048B1-9D7C-4C2B-9C33-4E4727B6F25B}" xr6:coauthVersionLast="47" xr6:coauthVersionMax="47" xr10:uidLastSave="{00000000-0000-0000-0000-000000000000}"/>
  <workbookProtection workbookAlgorithmName="SHA-512" workbookHashValue="odT8kzrMNJ2b41TDZPRgPalKJ2tiYnFtwRIpSHtpXYpucZIQNdRHxpCOqZDZZ6A/jJUYDTkybcpN28xHvTx0dA==" workbookSaltValue="XR+Hp4UoR9OIccRrIIIVag==" workbookSpinCount="100000" lockStructure="1"/>
  <bookViews>
    <workbookView xWindow="-108" yWindow="-108" windowWidth="23256" windowHeight="12816" xr2:uid="{00000000-000D-0000-FFFF-FFFF00000000}"/>
  </bookViews>
  <sheets>
    <sheet name="Information" sheetId="1" r:id="rId1"/>
    <sheet name="CLOs" sheetId="2" r:id="rId2"/>
    <sheet name="Topics" sheetId="4" r:id="rId3"/>
    <sheet name="Activities" sheetId="5" r:id="rId4"/>
    <sheet name="Table_Specifications" sheetId="6" r:id="rId5"/>
    <sheet name="Exams_sheet" sheetId="11" r:id="rId6"/>
    <sheet name="Marks" sheetId="8" r:id="rId7"/>
    <sheet name="CLOs_Report" sheetId="9" r:id="rId8"/>
  </sheets>
  <functionGroups builtInGroupCount="19"/>
  <definedNames>
    <definedName name="ACT_1">Activities!$D$2</definedName>
    <definedName name="ACT_10">Activities!$M$2</definedName>
    <definedName name="ACT_11">Activities!$N$2</definedName>
    <definedName name="ACT_12">Activities!$O$2</definedName>
    <definedName name="ACT_13">Activities!$P$2</definedName>
    <definedName name="ACT_14">Activities!$Q$2</definedName>
    <definedName name="ACT_15">Activities!$R$2</definedName>
    <definedName name="ACT_2">Activities!$E$2</definedName>
    <definedName name="ACT_3">Activities!$F$2</definedName>
    <definedName name="ACT_4">Activities!$G$2</definedName>
    <definedName name="ACT_5">Activities!$H$2</definedName>
    <definedName name="ACT_6">Activities!$I$2</definedName>
    <definedName name="ACT_7">Activities!$J$2</definedName>
    <definedName name="ACT_8">Activities!$K$2</definedName>
    <definedName name="ACT_9">Activities!$L$2</definedName>
    <definedName name="Act_Level_K1">Marks!$GX$160</definedName>
    <definedName name="Act_Level_K2">Marks!$GY$160</definedName>
    <definedName name="Act_Level_K3">Marks!$GZ$160</definedName>
    <definedName name="Act_Level_K4">Marks!$HA$160</definedName>
    <definedName name="Act_Level_S1">Marks!$HB$160</definedName>
    <definedName name="Act_Level_S2">Marks!$HC$160</definedName>
    <definedName name="Act_Level_S3">Marks!$HD$160</definedName>
    <definedName name="Act_Level_S4">Marks!$HE$160</definedName>
    <definedName name="Act_Level_S5">Marks!$HF$160</definedName>
    <definedName name="Act_Level_S6">Marks!$HG$160</definedName>
    <definedName name="Act_Level_S7">Marks!$HH$160</definedName>
    <definedName name="Act_Level_V1">Marks!$HI$160</definedName>
    <definedName name="Act_Level_V2">Marks!$HJ$160</definedName>
    <definedName name="Act_Level_V3">Marks!$HK$160</definedName>
    <definedName name="Act_Level_V4">Marks!$HL$160</definedName>
    <definedName name="All_Stud">Marks!$C$7</definedName>
    <definedName name="All1_1">Table_Specifications!$K$33</definedName>
    <definedName name="All1_10">Table_Specifications!$DU$33</definedName>
    <definedName name="All1_11">Table_Specifications!$EC$33</definedName>
    <definedName name="All1_12">Table_Specifications!$EM$33</definedName>
    <definedName name="All1_13">Table_Specifications!$EW$33</definedName>
    <definedName name="All1_14">Table_Specifications!$FG$33</definedName>
    <definedName name="All1_15">Table_Specifications!$FQ$33</definedName>
    <definedName name="All1_2">Table_Specifications!$V$33</definedName>
    <definedName name="All1_3">Table_Specifications!$AG$33</definedName>
    <definedName name="All1_4">Table_Specifications!$AR$33</definedName>
    <definedName name="All1_5">Table_Specifications!$BC$33</definedName>
    <definedName name="All1_6">Table_Specifications!$BQ$33</definedName>
    <definedName name="All1_7">Table_Specifications!$CE$33</definedName>
    <definedName name="All1_8">Table_Specifications!$CS$33</definedName>
    <definedName name="All1_9">Table_Specifications!$DG$33</definedName>
    <definedName name="All2_1">Table_Specifications!$L$33</definedName>
    <definedName name="All2_10">Table_Specifications!$DV$33</definedName>
    <definedName name="All2_11">Table_Specifications!$ED$33</definedName>
    <definedName name="All2_12">Table_Specifications!$EN$33</definedName>
    <definedName name="All2_13">Table_Specifications!$EX$33</definedName>
    <definedName name="All2_14">Table_Specifications!$FH$33</definedName>
    <definedName name="All2_15">Table_Specifications!$FR$33</definedName>
    <definedName name="All2_2">Table_Specifications!$W$33</definedName>
    <definedName name="All2_3">Table_Specifications!$AH$33</definedName>
    <definedName name="All2_4">Table_Specifications!$AS$33</definedName>
    <definedName name="All2_5">Table_Specifications!$BD$33</definedName>
    <definedName name="All2_6">Table_Specifications!$BR$33</definedName>
    <definedName name="All2_7">Table_Specifications!$CF$33</definedName>
    <definedName name="All2_8">Table_Specifications!$CT$33</definedName>
    <definedName name="All2_9">Table_Specifications!$DH$33</definedName>
    <definedName name="All3_1">Table_Specifications!$M$33</definedName>
    <definedName name="All3_10">Table_Specifications!$DW$33</definedName>
    <definedName name="All3_11">Table_Specifications!$EE$33</definedName>
    <definedName name="All3_12">Table_Specifications!$EO$33</definedName>
    <definedName name="All3_13">Table_Specifications!$EY$33</definedName>
    <definedName name="All3_14">Table_Specifications!$FI$33</definedName>
    <definedName name="All3_15">Table_Specifications!$FS$33</definedName>
    <definedName name="All3_2">Table_Specifications!$X$33</definedName>
    <definedName name="All3_3">Table_Specifications!$AI$33</definedName>
    <definedName name="All3_4">Table_Specifications!$AT$33</definedName>
    <definedName name="All3_5">Table_Specifications!$BE$33</definedName>
    <definedName name="All3_6">Table_Specifications!$BS$33</definedName>
    <definedName name="All3_7">Table_Specifications!$CG$33</definedName>
    <definedName name="All3_8">Table_Specifications!$CU$33</definedName>
    <definedName name="All3_9">Table_Specifications!$DI$33</definedName>
    <definedName name="All4_1">Table_Specifications!$N$33</definedName>
    <definedName name="All4_10">Table_Specifications!$DX$33</definedName>
    <definedName name="All4_11">Table_Specifications!$EF$33</definedName>
    <definedName name="All4_12">Table_Specifications!$EP$33</definedName>
    <definedName name="All4_13">Table_Specifications!$EZ$33</definedName>
    <definedName name="All4_14">Table_Specifications!$FJ$33</definedName>
    <definedName name="All4_15">Table_Specifications!$FT$33</definedName>
    <definedName name="All4_2">Table_Specifications!$Y$33</definedName>
    <definedName name="All4_3">Table_Specifications!$AJ$33</definedName>
    <definedName name="All4_4">Table_Specifications!$AU$33</definedName>
    <definedName name="All4_5">Table_Specifications!$BF$33</definedName>
    <definedName name="All4_6">Table_Specifications!$BT$33</definedName>
    <definedName name="All4_7">Table_Specifications!$CH$33</definedName>
    <definedName name="All4_8">Table_Specifications!$CV$33</definedName>
    <definedName name="All4_9">Table_Specifications!$DJ$33</definedName>
    <definedName name="Assign_1">Table_Specifications!$BG$33</definedName>
    <definedName name="Assign_10">Table_Specifications!$FK$33</definedName>
    <definedName name="Assign_11">Table_Specifications!$FU$33</definedName>
    <definedName name="Assign_2">Table_Specifications!$BU$33</definedName>
    <definedName name="Assign_3">Table_Specifications!$CI$33</definedName>
    <definedName name="Assign_4">Table_Specifications!$CW$33</definedName>
    <definedName name="Assign_5">Table_Specifications!$DK$33</definedName>
    <definedName name="Assign_6">Table_Specifications!$DY$33</definedName>
    <definedName name="Assign_7">Table_Specifications!$EG$33</definedName>
    <definedName name="Assign_8">Table_Specifications!$EQ$33</definedName>
    <definedName name="Assign_9">Table_Specifications!$FA$33</definedName>
    <definedName name="dup_list">Marks!#REF!</definedName>
    <definedName name="Dyn_cell">Marks!#REF!</definedName>
    <definedName name="Dyn_list">Marks!#REF!</definedName>
    <definedName name="Exam_1">Activities!$D$1</definedName>
    <definedName name="Exam_10">Activities!$M$1</definedName>
    <definedName name="Exam_11">Activities!$N$1</definedName>
    <definedName name="Exam_12">Activities!$O$1</definedName>
    <definedName name="Exam_13">Activities!$P$1</definedName>
    <definedName name="Exam_14">Activities!$Q$1</definedName>
    <definedName name="Exam_15">Activities!$R$1</definedName>
    <definedName name="Exam_2">Activities!$E$1</definedName>
    <definedName name="Exam_3">Activities!$F$1</definedName>
    <definedName name="Exam_4">Activities!$G$1</definedName>
    <definedName name="Exam_5">Activities!$H$1</definedName>
    <definedName name="Exam_6">Activities!$I$1</definedName>
    <definedName name="Exam_7">Activities!$J$1</definedName>
    <definedName name="Exam_8">Activities!$K$1</definedName>
    <definedName name="Exam_9">Activities!$L$1</definedName>
    <definedName name="Exam1_1">Table_Specifications!$E$33</definedName>
    <definedName name="Exam1_10">Table_Specifications!$DO$33</definedName>
    <definedName name="Exam1_2">Table_Specifications!$P$33</definedName>
    <definedName name="Exam1_3">Table_Specifications!$AA$33</definedName>
    <definedName name="Exam1_4">Table_Specifications!$AL$33</definedName>
    <definedName name="Exam1_5">Table_Specifications!$AW$33</definedName>
    <definedName name="Exam1_6">Table_Specifications!$BK$33</definedName>
    <definedName name="Exam1_7">Table_Specifications!$BY$33</definedName>
    <definedName name="Exam1_8">Table_Specifications!$CM$33</definedName>
    <definedName name="Exam1_9">Table_Specifications!$DA$33</definedName>
    <definedName name="Exam2_1">Table_Specifications!$F$33</definedName>
    <definedName name="Exam2_10">Table_Specifications!$DP$33</definedName>
    <definedName name="Exam2_2">Table_Specifications!$Q$33</definedName>
    <definedName name="Exam2_3">Table_Specifications!$AB$33</definedName>
    <definedName name="Exam2_4">Table_Specifications!$AM$33</definedName>
    <definedName name="Exam2_5">Table_Specifications!$AX$33</definedName>
    <definedName name="Exam2_6">Table_Specifications!$BL$33</definedName>
    <definedName name="Exam2_7">Table_Specifications!$BZ$33</definedName>
    <definedName name="Exam2_8">Table_Specifications!$CN$33</definedName>
    <definedName name="Exam2_9">Table_Specifications!$DB$33</definedName>
    <definedName name="Exam3_1">Table_Specifications!$G$33</definedName>
    <definedName name="Exam3_10">Table_Specifications!$DQ$33</definedName>
    <definedName name="Exam3_2">Table_Specifications!$R$33</definedName>
    <definedName name="Exam3_3">Table_Specifications!$AC$33</definedName>
    <definedName name="Exam3_4">Table_Specifications!$AN$33</definedName>
    <definedName name="Exam3_5">Table_Specifications!$AY$33</definedName>
    <definedName name="Exam3_6">Table_Specifications!$BM$33</definedName>
    <definedName name="Exam3_7">Table_Specifications!$CA$33</definedName>
    <definedName name="Exam3_8">Table_Specifications!$CO$33</definedName>
    <definedName name="Exam3_9">Table_Specifications!$DC$33</definedName>
    <definedName name="Exam6_1">Table_Specifications!$J$33</definedName>
    <definedName name="Exam6_10">Table_Specifications!$DT$33</definedName>
    <definedName name="Exam6_2">Table_Specifications!$U$33</definedName>
    <definedName name="Exam6_3">Table_Specifications!$AF$33</definedName>
    <definedName name="Exam6_4">Table_Specifications!$AQ$33</definedName>
    <definedName name="Exam6_5">Table_Specifications!$BB$33</definedName>
    <definedName name="Exam6_6">Table_Specifications!$BP$33</definedName>
    <definedName name="Exam6_7">Table_Specifications!$CD$33</definedName>
    <definedName name="Exam6_8">Table_Specifications!$CR$33</definedName>
    <definedName name="Exam6_9">Table_Specifications!$DF$33</definedName>
    <definedName name="Full_Mark">CLOs!$F$3</definedName>
    <definedName name="Grade_col">Marks!$GU$10:$GU$159</definedName>
    <definedName name="Inf_AcademicYear">Information!$C$10</definedName>
    <definedName name="Inf_Collage">Information!$C$8</definedName>
    <definedName name="Inf_Coordinator">Information!$C$13</definedName>
    <definedName name="Inf_CourseCode">Information!$C$5</definedName>
    <definedName name="Inf_CourseTitle">Information!$C$4</definedName>
    <definedName name="Inf_Date">Information!$C$14</definedName>
    <definedName name="Inf_Depart">Information!$C$6</definedName>
    <definedName name="Inf_Instructor">Information!$C$12</definedName>
    <definedName name="Inf_Program">Information!$C$7</definedName>
    <definedName name="Inf_Sections">Information!$C$9</definedName>
    <definedName name="Inf_Semester">Information!$C$11</definedName>
    <definedName name="K_1">CLOs!$C$11</definedName>
    <definedName name="K_2">CLOs!$C$12</definedName>
    <definedName name="K_3">CLOs!$C$13</definedName>
    <definedName name="K_4">CLOs!$C$14</definedName>
    <definedName name="know_1">CLOs!$B$11</definedName>
    <definedName name="know_2">CLOs!$B$12</definedName>
    <definedName name="know_3">CLOs!$B$13</definedName>
    <definedName name="know_4">CLOs!$B$14</definedName>
    <definedName name="Lab_1">Table_Specifications!$I$33</definedName>
    <definedName name="Lab_10">Table_Specifications!$DS$33</definedName>
    <definedName name="Lab_2">Table_Specifications!$T$33</definedName>
    <definedName name="Lab_3">Table_Specifications!$AE$33</definedName>
    <definedName name="Lab_4">Table_Specifications!$AP$33</definedName>
    <definedName name="Lab_5">Table_Specifications!$BA$33</definedName>
    <definedName name="Lab_6">Table_Specifications!$BO$33</definedName>
    <definedName name="Lab_7">Table_Specifications!$CC$33</definedName>
    <definedName name="Lab_8">Table_Specifications!$CQ$33</definedName>
    <definedName name="Lab_9">Table_Specifications!$DE$33</definedName>
    <definedName name="MarkF_col">Marks!$GV$10:$GV$1048576</definedName>
    <definedName name="N">Marks!$C$7</definedName>
    <definedName name="N_total">Marks!$D$7</definedName>
    <definedName name="Oral_1">Table_Specifications!$EK$33</definedName>
    <definedName name="Oral_2">Table_Specifications!$EU$33</definedName>
    <definedName name="Oral_3">Table_Specifications!$FE$33</definedName>
    <definedName name="Oral_4">Table_Specifications!$FO$33</definedName>
    <definedName name="Oral_5">Table_Specifications!$FY$33</definedName>
    <definedName name="Present_1">Table_Specifications!$BI$33</definedName>
    <definedName name="Present_10">Table_Specifications!$FM$33</definedName>
    <definedName name="Present_11">Table_Specifications!$FW$33</definedName>
    <definedName name="Present_2">Table_Specifications!$BW$33</definedName>
    <definedName name="Present_3">Table_Specifications!$CK$33</definedName>
    <definedName name="Present_4">Table_Specifications!$CY$33</definedName>
    <definedName name="Present_5">Table_Specifications!$DM$33</definedName>
    <definedName name="Present_6">Table_Specifications!$EA$33</definedName>
    <definedName name="Present_7">Table_Specifications!$EI$33</definedName>
    <definedName name="Present_8">Table_Specifications!$ES$33</definedName>
    <definedName name="Present_9">Table_Specifications!$FC$33</definedName>
    <definedName name="_xlnm.Print_Area" localSheetId="7">CLOs_Report!$B$1:$G$54</definedName>
    <definedName name="_xlnm.Print_Area" localSheetId="5">Exams_sheet!$A$2:$Q$34</definedName>
    <definedName name="Project_1">Table_Specifications!$EJ$33</definedName>
    <definedName name="Project_2">Table_Specifications!$ET$33</definedName>
    <definedName name="Project_3">Table_Specifications!$FD$33</definedName>
    <definedName name="Project_4">Table_Specifications!$FN$33</definedName>
    <definedName name="Project_5">Table_Specifications!$FX$33</definedName>
    <definedName name="Quiz_1">Table_Specifications!$H$33</definedName>
    <definedName name="Quiz_10">Table_Specifications!$DR$33</definedName>
    <definedName name="Quiz_2">Table_Specifications!$S$33</definedName>
    <definedName name="Quiz_3">Table_Specifications!$AD$33</definedName>
    <definedName name="Quiz_4">Table_Specifications!$AO$33</definedName>
    <definedName name="Quiz_5">Table_Specifications!$AZ$33</definedName>
    <definedName name="Quiz_6">Table_Specifications!$BN$33</definedName>
    <definedName name="Quiz_7">Table_Specifications!$CB$33</definedName>
    <definedName name="Quiz_8">Table_Specifications!$CP$33</definedName>
    <definedName name="Quiz_9">Table_Specifications!$DD$33</definedName>
    <definedName name="Regular_Stud">Marks!$C$6</definedName>
    <definedName name="Report_1">Table_Specifications!$BH$33</definedName>
    <definedName name="Report_10">Table_Specifications!$FL$33</definedName>
    <definedName name="Report_11">Table_Specifications!$FV$33</definedName>
    <definedName name="Report_2">Table_Specifications!$BV$33</definedName>
    <definedName name="Report_3">Table_Specifications!$CJ$33</definedName>
    <definedName name="Report_4">Table_Specifications!$CX$33</definedName>
    <definedName name="Report_5">Table_Specifications!$DL$33</definedName>
    <definedName name="Report_6">Table_Specifications!$DZ$33</definedName>
    <definedName name="Report_7">Table_Specifications!$EH$33</definedName>
    <definedName name="Report_8">Table_Specifications!$ER$33</definedName>
    <definedName name="Report_9">Table_Specifications!$FB$33</definedName>
    <definedName name="S_1">CLOs!$C$16</definedName>
    <definedName name="S_2">CLOs!$C$17</definedName>
    <definedName name="S_3">CLOs!$C$18</definedName>
    <definedName name="S_4">CLOs!$C$19</definedName>
    <definedName name="S_5">CLOs!$C$20</definedName>
    <definedName name="S_6">CLOs!$C$21</definedName>
    <definedName name="S_7">CLOs!$C$22</definedName>
    <definedName name="Sec_col">Marks!#REF!</definedName>
    <definedName name="skil_1">CLOs!$B$16</definedName>
    <definedName name="skil_2">CLOs!$B$17</definedName>
    <definedName name="skil_3">CLOs!$B$18</definedName>
    <definedName name="skil_4">CLOs!$B$19</definedName>
    <definedName name="skil_5">CLOs!$B$20</definedName>
    <definedName name="skil_6">CLOs!$B$21</definedName>
    <definedName name="skil_7">CLOs!$B$22</definedName>
    <definedName name="Status_col">Marks!$D$10:$D$159</definedName>
    <definedName name="TLK_1">CLOs!$F$11</definedName>
    <definedName name="TLK_2">CLOs!$F$12</definedName>
    <definedName name="TLK_3">CLOs!$F$13</definedName>
    <definedName name="TLK_4">CLOs!$F$14</definedName>
    <definedName name="TLS_1">CLOs!$F$16</definedName>
    <definedName name="TLS_2">CLOs!$F$17</definedName>
    <definedName name="TLS_3">CLOs!$F$18</definedName>
    <definedName name="TLS_4">CLOs!$F$19</definedName>
    <definedName name="TLS_5">CLOs!$F$20</definedName>
    <definedName name="TLS_6">CLOs!$F$21</definedName>
    <definedName name="TLS_7">CLOs!$F$22</definedName>
    <definedName name="TLV_1">CLOs!$F$24</definedName>
    <definedName name="TLV_2">CLOs!$F$25</definedName>
    <definedName name="TLV_3">CLOs!$F$26</definedName>
    <definedName name="TLV_4">CLOs!$F$27</definedName>
    <definedName name="Top_1">Topics!$B$3</definedName>
    <definedName name="Top_10">Topics!$B$12</definedName>
    <definedName name="Top_11">Topics!$B$13</definedName>
    <definedName name="Top_12">Topics!$B$14</definedName>
    <definedName name="Top_13">Topics!$B$15</definedName>
    <definedName name="Top_14">Topics!$B$16</definedName>
    <definedName name="Top_15">Topics!$B$17</definedName>
    <definedName name="Top_16">Topics!$B$18</definedName>
    <definedName name="Top_17">Topics!$B$19</definedName>
    <definedName name="Top_18">Topics!$B$20</definedName>
    <definedName name="Top_19">Topics!$B$21</definedName>
    <definedName name="Top_2">Topics!$B$4</definedName>
    <definedName name="Top_20">Topics!$B$22</definedName>
    <definedName name="Top_21">Topics!$B$23</definedName>
    <definedName name="Top_22">Topics!$B$24</definedName>
    <definedName name="Top_23">Topics!$B$25</definedName>
    <definedName name="Top_24">Topics!$B$26</definedName>
    <definedName name="Top_25">Topics!$B$27</definedName>
    <definedName name="Top_26">Topics!$B$28</definedName>
    <definedName name="Top_27">Topics!$B$29</definedName>
    <definedName name="Top_28">Topics!$B$30</definedName>
    <definedName name="Top_29">Topics!$B$31</definedName>
    <definedName name="Top_3">Topics!$B$5</definedName>
    <definedName name="Top_30">Topics!$B$32</definedName>
    <definedName name="Top_4">Topics!$B$6</definedName>
    <definedName name="Top_5">Topics!$B$7</definedName>
    <definedName name="Top_6">Topics!$B$8</definedName>
    <definedName name="Top_7">Topics!$B$9</definedName>
    <definedName name="Top_8">Topics!$B$10</definedName>
    <definedName name="Top_9">Topics!$B$11</definedName>
    <definedName name="TopV_1">Topics!$E$3</definedName>
    <definedName name="TopV_10">Topics!$E$12</definedName>
    <definedName name="TopV_11">Topics!$E$13</definedName>
    <definedName name="TopV_12">Topics!$E$14</definedName>
    <definedName name="TopV_13">Topics!$E$15</definedName>
    <definedName name="TopV_14">Topics!$E$16</definedName>
    <definedName name="TopV_15">Topics!$E$17</definedName>
    <definedName name="TopV_16">Topics!$E$18</definedName>
    <definedName name="TopV_17">Topics!$E$19</definedName>
    <definedName name="TopV_18">Topics!$E$20</definedName>
    <definedName name="TopV_19">Topics!$E$21</definedName>
    <definedName name="TopV_2">Topics!$E$4</definedName>
    <definedName name="TopV_20">Topics!$E$22</definedName>
    <definedName name="TopV_21">Topics!$E$23</definedName>
    <definedName name="TopV_22">Topics!$E$24</definedName>
    <definedName name="TopV_23">Topics!$E$25</definedName>
    <definedName name="TopV_24">Topics!$E$26</definedName>
    <definedName name="TopV_25">Topics!$E$27</definedName>
    <definedName name="TopV_26">Topics!$E$28</definedName>
    <definedName name="TopV_27">Topics!$E$29</definedName>
    <definedName name="TopV_28">Topics!$E$30</definedName>
    <definedName name="TopV_29">Topics!$E$31</definedName>
    <definedName name="TopV_3">Topics!$E$5</definedName>
    <definedName name="TopV_30">Topics!$E$32</definedName>
    <definedName name="TopV_4">Topics!$E$6</definedName>
    <definedName name="TopV_5">Topics!$E$7</definedName>
    <definedName name="TopV_6">Topics!$E$8</definedName>
    <definedName name="TopV_7">Topics!$E$9</definedName>
    <definedName name="TopV_8">Topics!$E$10</definedName>
    <definedName name="TopV_9">Topics!$E$11</definedName>
    <definedName name="TSK_1">CLOs!$E$11</definedName>
    <definedName name="TSK_2">CLOs!$E$12</definedName>
    <definedName name="TSK_3">CLOs!$E$13</definedName>
    <definedName name="TSK_4">CLOs!$E$14</definedName>
    <definedName name="TSS_1">CLOs!$E$16</definedName>
    <definedName name="TSS_2">CLOs!$E$17</definedName>
    <definedName name="TSS_3">CLOs!$E$18</definedName>
    <definedName name="TSS_4">CLOs!$E$19</definedName>
    <definedName name="TSS_5">CLOs!$E$20</definedName>
    <definedName name="TSS_6">CLOs!$E$21</definedName>
    <definedName name="TSS_7">CLOs!$E$22</definedName>
    <definedName name="TSV_1">CLOs!$E$24</definedName>
    <definedName name="TSV_2">CLOs!$E$25</definedName>
    <definedName name="TSV_3">CLOs!$E$26</definedName>
    <definedName name="TSV_4">CLOs!$E$27</definedName>
    <definedName name="V_1">CLOs!$C$24</definedName>
    <definedName name="V_2">CLOs!$C$25</definedName>
    <definedName name="V_3">CLOs!$C$26</definedName>
    <definedName name="V_4">CLOs!$C$27</definedName>
    <definedName name="value_1">CLOs!$B$24</definedName>
    <definedName name="value_2">CLOs!$B$25</definedName>
    <definedName name="value_3">CLOs!$B$26</definedName>
    <definedName name="value_4">CLOs!$B$27</definedName>
    <definedName name="Verf_k1">Marks!#REF!</definedName>
    <definedName name="Verf_k2">Marks!#REF!</definedName>
    <definedName name="Verf_k3">Marks!#REF!</definedName>
    <definedName name="Verf_k4">Marks!#REF!</definedName>
    <definedName name="Verf_S1">Marks!#REF!</definedName>
    <definedName name="Verf_S2">Marks!#REF!</definedName>
    <definedName name="Verf_S3">Marks!#REF!</definedName>
    <definedName name="Verf_S4">Marks!#REF!</definedName>
    <definedName name="Verf_S5">Marks!#REF!</definedName>
    <definedName name="Verf_S6">Marks!#REF!</definedName>
    <definedName name="Verf_V1">Marks!#REF!</definedName>
    <definedName name="Verf_V2">Marks!#REF!</definedName>
    <definedName name="Verf_V3">Marks!#REF!</definedName>
    <definedName name="Verf_V4">Marks!#REF!</definedName>
    <definedName name="VK_1">CLOs!$D$11</definedName>
    <definedName name="VK_2">CLOs!$D$12</definedName>
    <definedName name="VK_3">CLOs!$D$13</definedName>
    <definedName name="VK_4">CLOs!$D$14</definedName>
    <definedName name="VS_1">CLOs!$D$16</definedName>
    <definedName name="VS_2">CLOs!$D$17</definedName>
    <definedName name="VS_3">CLOs!$D$18</definedName>
    <definedName name="VS_4">CLOs!$D$19</definedName>
    <definedName name="VS_5">CLOs!$D$20</definedName>
    <definedName name="VS_6">CLOs!$D$21</definedName>
    <definedName name="VS_7">CLOs!$D$22</definedName>
    <definedName name="VV_1">CLOs!$D$24</definedName>
    <definedName name="VV_2">CLOs!$D$25</definedName>
    <definedName name="VV_3">CLOs!$D$26</definedName>
    <definedName name="VV_4">CLOs!$D$27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4" l="1"/>
  <c r="C33" i="4"/>
  <c r="E37" i="9"/>
  <c r="D37" i="9"/>
  <c r="C37" i="9"/>
  <c r="B37" i="9"/>
  <c r="E36" i="9"/>
  <c r="D36" i="9"/>
  <c r="C36" i="9"/>
  <c r="B36" i="9"/>
  <c r="E35" i="9"/>
  <c r="D35" i="9"/>
  <c r="C35" i="9"/>
  <c r="B35" i="9"/>
  <c r="E34" i="9"/>
  <c r="D34" i="9"/>
  <c r="C34" i="9"/>
  <c r="B34" i="9"/>
  <c r="C33" i="9"/>
  <c r="B33" i="9"/>
  <c r="E32" i="9"/>
  <c r="D32" i="9"/>
  <c r="C32" i="9"/>
  <c r="B32" i="9"/>
  <c r="E31" i="9"/>
  <c r="D31" i="9"/>
  <c r="C31" i="9"/>
  <c r="B31" i="9"/>
  <c r="E30" i="9"/>
  <c r="D30" i="9"/>
  <c r="C30" i="9"/>
  <c r="B30" i="9"/>
  <c r="E29" i="9"/>
  <c r="D29" i="9"/>
  <c r="C29" i="9"/>
  <c r="B29" i="9"/>
  <c r="E28" i="9"/>
  <c r="D28" i="9"/>
  <c r="C28" i="9"/>
  <c r="B28" i="9"/>
  <c r="E27" i="9"/>
  <c r="D27" i="9"/>
  <c r="C27" i="9"/>
  <c r="B27" i="9"/>
  <c r="E26" i="9"/>
  <c r="D26" i="9"/>
  <c r="C26" i="9"/>
  <c r="B26" i="9"/>
  <c r="C25" i="9"/>
  <c r="B25" i="9"/>
  <c r="E24" i="9"/>
  <c r="D24" i="9"/>
  <c r="C24" i="9"/>
  <c r="B24" i="9"/>
  <c r="E23" i="9"/>
  <c r="D23" i="9"/>
  <c r="C23" i="9"/>
  <c r="B23" i="9"/>
  <c r="E22" i="9"/>
  <c r="D22" i="9"/>
  <c r="C22" i="9"/>
  <c r="B22" i="9"/>
  <c r="E21" i="9"/>
  <c r="D21" i="9"/>
  <c r="C21" i="9"/>
  <c r="B21" i="9"/>
  <c r="C20" i="9"/>
  <c r="B20" i="9"/>
  <c r="D15" i="9"/>
  <c r="D12" i="9"/>
  <c r="D11" i="9"/>
  <c r="D10" i="9"/>
  <c r="D9" i="9"/>
  <c r="D8" i="9"/>
  <c r="D7" i="9"/>
  <c r="D6" i="9"/>
  <c r="D5" i="9"/>
  <c r="D4" i="9"/>
  <c r="D3" i="9"/>
  <c r="S2" i="5"/>
  <c r="R33" i="5"/>
  <c r="R34" i="5" s="1"/>
  <c r="Q33" i="5"/>
  <c r="Q34" i="5" s="1"/>
  <c r="P33" i="5"/>
  <c r="P34" i="5" s="1"/>
  <c r="O33" i="5"/>
  <c r="O34" i="5" s="1"/>
  <c r="N33" i="5"/>
  <c r="N34" i="5" s="1"/>
  <c r="M33" i="5"/>
  <c r="M34" i="5" s="1"/>
  <c r="L33" i="5"/>
  <c r="L34" i="5" s="1"/>
  <c r="K33" i="5"/>
  <c r="K34" i="5" s="1"/>
  <c r="J33" i="5"/>
  <c r="J34" i="5" s="1"/>
  <c r="I33" i="5"/>
  <c r="I34" i="5" s="1"/>
  <c r="H33" i="5"/>
  <c r="H34" i="5" s="1"/>
  <c r="G33" i="5"/>
  <c r="G34" i="5" s="1"/>
  <c r="F33" i="5"/>
  <c r="F34" i="5" s="1"/>
  <c r="E33" i="5"/>
  <c r="E34" i="5" s="1"/>
  <c r="D33" i="5"/>
  <c r="D34" i="5" s="1"/>
  <c r="C32" i="5"/>
  <c r="S32" i="5" s="1"/>
  <c r="C31" i="5"/>
  <c r="S31" i="5" s="1"/>
  <c r="C30" i="5"/>
  <c r="S30" i="5" s="1"/>
  <c r="C29" i="5"/>
  <c r="S29" i="5" s="1"/>
  <c r="C28" i="5"/>
  <c r="S28" i="5" s="1"/>
  <c r="C27" i="5"/>
  <c r="S27" i="5" s="1"/>
  <c r="C26" i="5"/>
  <c r="S26" i="5" s="1"/>
  <c r="C25" i="5"/>
  <c r="S25" i="5" s="1"/>
  <c r="C24" i="5"/>
  <c r="S24" i="5" s="1"/>
  <c r="C23" i="5"/>
  <c r="S23" i="5" s="1"/>
  <c r="C22" i="5"/>
  <c r="S22" i="5" s="1"/>
  <c r="C21" i="5"/>
  <c r="S21" i="5" s="1"/>
  <c r="C20" i="5"/>
  <c r="S20" i="5" s="1"/>
  <c r="C19" i="5"/>
  <c r="S19" i="5" s="1"/>
  <c r="C18" i="5"/>
  <c r="S18" i="5" s="1"/>
  <c r="C17" i="5"/>
  <c r="S17" i="5" s="1"/>
  <c r="C16" i="5"/>
  <c r="S16" i="5" s="1"/>
  <c r="C15" i="5"/>
  <c r="S15" i="5" s="1"/>
  <c r="C14" i="5"/>
  <c r="S14" i="5" s="1"/>
  <c r="C13" i="5"/>
  <c r="S13" i="5" s="1"/>
  <c r="C12" i="5"/>
  <c r="S12" i="5" s="1"/>
  <c r="C11" i="5"/>
  <c r="S11" i="5" s="1"/>
  <c r="C10" i="5"/>
  <c r="S10" i="5" s="1"/>
  <c r="C9" i="5"/>
  <c r="S9" i="5" s="1"/>
  <c r="C8" i="5"/>
  <c r="S8" i="5" s="1"/>
  <c r="C7" i="5"/>
  <c r="S7" i="5" s="1"/>
  <c r="C6" i="5"/>
  <c r="S6" i="5" s="1"/>
  <c r="C5" i="5"/>
  <c r="S5" i="5" s="1"/>
  <c r="C4" i="5"/>
  <c r="S4" i="5" s="1"/>
  <c r="C3" i="5"/>
  <c r="S3" i="5" s="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GC159" i="8"/>
  <c r="GB159" i="8"/>
  <c r="GC158" i="8"/>
  <c r="GB158" i="8"/>
  <c r="GC157" i="8"/>
  <c r="GB157" i="8"/>
  <c r="GC156" i="8"/>
  <c r="GB156" i="8"/>
  <c r="GC155" i="8"/>
  <c r="GB155" i="8"/>
  <c r="GC154" i="8"/>
  <c r="GB154" i="8"/>
  <c r="GC153" i="8"/>
  <c r="GB153" i="8"/>
  <c r="GC152" i="8"/>
  <c r="GB152" i="8"/>
  <c r="GC151" i="8"/>
  <c r="GB151" i="8"/>
  <c r="GC150" i="8"/>
  <c r="GB150" i="8"/>
  <c r="GC149" i="8"/>
  <c r="GB149" i="8"/>
  <c r="GC148" i="8"/>
  <c r="GB148" i="8"/>
  <c r="GC147" i="8"/>
  <c r="GB147" i="8"/>
  <c r="GC146" i="8"/>
  <c r="GB146" i="8"/>
  <c r="GC145" i="8"/>
  <c r="GB145" i="8"/>
  <c r="GC144" i="8"/>
  <c r="GB144" i="8"/>
  <c r="GC143" i="8"/>
  <c r="GB143" i="8"/>
  <c r="GC142" i="8"/>
  <c r="GB142" i="8"/>
  <c r="GC141" i="8"/>
  <c r="GB141" i="8"/>
  <c r="GC140" i="8"/>
  <c r="GB140" i="8"/>
  <c r="GC139" i="8"/>
  <c r="GB139" i="8"/>
  <c r="GC138" i="8"/>
  <c r="GB138" i="8"/>
  <c r="GC137" i="8"/>
  <c r="GB137" i="8"/>
  <c r="GC136" i="8"/>
  <c r="GB136" i="8"/>
  <c r="GC135" i="8"/>
  <c r="GB135" i="8"/>
  <c r="GC134" i="8"/>
  <c r="GB134" i="8"/>
  <c r="GC133" i="8"/>
  <c r="GB133" i="8"/>
  <c r="GC132" i="8"/>
  <c r="GB132" i="8"/>
  <c r="GC131" i="8"/>
  <c r="GB131" i="8"/>
  <c r="GC130" i="8"/>
  <c r="GB130" i="8"/>
  <c r="GC129" i="8"/>
  <c r="GB129" i="8"/>
  <c r="GC128" i="8"/>
  <c r="GB128" i="8"/>
  <c r="GC127" i="8"/>
  <c r="GB127" i="8"/>
  <c r="GC126" i="8"/>
  <c r="GB126" i="8"/>
  <c r="GC125" i="8"/>
  <c r="GB125" i="8"/>
  <c r="GC124" i="8"/>
  <c r="GB124" i="8"/>
  <c r="GC123" i="8"/>
  <c r="GB123" i="8"/>
  <c r="GC122" i="8"/>
  <c r="GB122" i="8"/>
  <c r="GC121" i="8"/>
  <c r="GB121" i="8"/>
  <c r="GC120" i="8"/>
  <c r="GB120" i="8"/>
  <c r="GC119" i="8"/>
  <c r="GB119" i="8"/>
  <c r="GC118" i="8"/>
  <c r="GB118" i="8"/>
  <c r="GC117" i="8"/>
  <c r="GB117" i="8"/>
  <c r="GC116" i="8"/>
  <c r="GB116" i="8"/>
  <c r="GC115" i="8"/>
  <c r="GB115" i="8"/>
  <c r="GC114" i="8"/>
  <c r="GB114" i="8"/>
  <c r="GC113" i="8"/>
  <c r="GB113" i="8"/>
  <c r="GC112" i="8"/>
  <c r="GB112" i="8"/>
  <c r="GC111" i="8"/>
  <c r="GB111" i="8"/>
  <c r="GC110" i="8"/>
  <c r="GB110" i="8"/>
  <c r="GC109" i="8"/>
  <c r="GB109" i="8"/>
  <c r="GC108" i="8"/>
  <c r="GB108" i="8"/>
  <c r="GC107" i="8"/>
  <c r="GB107" i="8"/>
  <c r="GC106" i="8"/>
  <c r="GB106" i="8"/>
  <c r="GC105" i="8"/>
  <c r="GB105" i="8"/>
  <c r="GC104" i="8"/>
  <c r="GB104" i="8"/>
  <c r="GC103" i="8"/>
  <c r="GB103" i="8"/>
  <c r="GC102" i="8"/>
  <c r="GB102" i="8"/>
  <c r="GC101" i="8"/>
  <c r="GB101" i="8"/>
  <c r="GC100" i="8"/>
  <c r="GB100" i="8"/>
  <c r="GC99" i="8"/>
  <c r="GB99" i="8"/>
  <c r="GC98" i="8"/>
  <c r="GB98" i="8"/>
  <c r="GC97" i="8"/>
  <c r="GB97" i="8"/>
  <c r="GC96" i="8"/>
  <c r="GB96" i="8"/>
  <c r="GC95" i="8"/>
  <c r="GB95" i="8"/>
  <c r="GC94" i="8"/>
  <c r="GB94" i="8"/>
  <c r="GC93" i="8"/>
  <c r="GB93" i="8"/>
  <c r="GC92" i="8"/>
  <c r="GB92" i="8"/>
  <c r="GC91" i="8"/>
  <c r="GB91" i="8"/>
  <c r="GC90" i="8"/>
  <c r="GB90" i="8"/>
  <c r="GC89" i="8"/>
  <c r="GB89" i="8"/>
  <c r="GC88" i="8"/>
  <c r="GB88" i="8"/>
  <c r="GC87" i="8"/>
  <c r="GB87" i="8"/>
  <c r="GC86" i="8"/>
  <c r="GB86" i="8"/>
  <c r="GC85" i="8"/>
  <c r="GB85" i="8"/>
  <c r="GC84" i="8"/>
  <c r="GB84" i="8"/>
  <c r="GC83" i="8"/>
  <c r="GB83" i="8"/>
  <c r="GC82" i="8"/>
  <c r="GB82" i="8"/>
  <c r="GC81" i="8"/>
  <c r="GB81" i="8"/>
  <c r="GC80" i="8"/>
  <c r="GB80" i="8"/>
  <c r="GC79" i="8"/>
  <c r="GB79" i="8"/>
  <c r="GC78" i="8"/>
  <c r="GB78" i="8"/>
  <c r="GC77" i="8"/>
  <c r="GB77" i="8"/>
  <c r="GC76" i="8"/>
  <c r="GB76" i="8"/>
  <c r="GC75" i="8"/>
  <c r="GB75" i="8"/>
  <c r="GC74" i="8"/>
  <c r="GB74" i="8"/>
  <c r="GC73" i="8"/>
  <c r="GB73" i="8"/>
  <c r="GC72" i="8"/>
  <c r="GB72" i="8"/>
  <c r="GC71" i="8"/>
  <c r="GB71" i="8"/>
  <c r="GC70" i="8"/>
  <c r="GB70" i="8"/>
  <c r="GC69" i="8"/>
  <c r="GB69" i="8"/>
  <c r="GC68" i="8"/>
  <c r="GB68" i="8"/>
  <c r="GC67" i="8"/>
  <c r="GB67" i="8"/>
  <c r="GC66" i="8"/>
  <c r="GB66" i="8"/>
  <c r="GC65" i="8"/>
  <c r="GB65" i="8"/>
  <c r="GC64" i="8"/>
  <c r="GB64" i="8"/>
  <c r="GC63" i="8"/>
  <c r="GB63" i="8"/>
  <c r="GC62" i="8"/>
  <c r="GB62" i="8"/>
  <c r="GC61" i="8"/>
  <c r="GB61" i="8"/>
  <c r="GC60" i="8"/>
  <c r="GB60" i="8"/>
  <c r="GC59" i="8"/>
  <c r="GB59" i="8"/>
  <c r="GC58" i="8"/>
  <c r="GB58" i="8"/>
  <c r="GC57" i="8"/>
  <c r="GB57" i="8"/>
  <c r="GC56" i="8"/>
  <c r="GB56" i="8"/>
  <c r="GC55" i="8"/>
  <c r="GB55" i="8"/>
  <c r="GC54" i="8"/>
  <c r="GB54" i="8"/>
  <c r="GC53" i="8"/>
  <c r="GB53" i="8"/>
  <c r="GC52" i="8"/>
  <c r="GB52" i="8"/>
  <c r="GC51" i="8"/>
  <c r="GB51" i="8"/>
  <c r="GC50" i="8"/>
  <c r="GB50" i="8"/>
  <c r="GC49" i="8"/>
  <c r="GB49" i="8"/>
  <c r="GC48" i="8"/>
  <c r="GB48" i="8"/>
  <c r="GC47" i="8"/>
  <c r="GB47" i="8"/>
  <c r="GC46" i="8"/>
  <c r="GB46" i="8"/>
  <c r="GC45" i="8"/>
  <c r="GB45" i="8"/>
  <c r="GC44" i="8"/>
  <c r="GB44" i="8"/>
  <c r="GC43" i="8"/>
  <c r="GB43" i="8"/>
  <c r="GC42" i="8"/>
  <c r="GB42" i="8"/>
  <c r="GC41" i="8"/>
  <c r="GB41" i="8"/>
  <c r="GC40" i="8"/>
  <c r="GB40" i="8"/>
  <c r="GC39" i="8"/>
  <c r="GB39" i="8"/>
  <c r="GC38" i="8"/>
  <c r="GB38" i="8"/>
  <c r="GC37" i="8"/>
  <c r="GB37" i="8"/>
  <c r="GC36" i="8"/>
  <c r="GB36" i="8"/>
  <c r="GC35" i="8"/>
  <c r="GB35" i="8"/>
  <c r="GC34" i="8"/>
  <c r="GB34" i="8"/>
  <c r="GC33" i="8"/>
  <c r="GB33" i="8"/>
  <c r="GC32" i="8"/>
  <c r="GB32" i="8"/>
  <c r="GC31" i="8"/>
  <c r="GB31" i="8"/>
  <c r="GC30" i="8"/>
  <c r="GB30" i="8"/>
  <c r="GC29" i="8"/>
  <c r="GB29" i="8"/>
  <c r="GC28" i="8"/>
  <c r="GB28" i="8"/>
  <c r="GC27" i="8"/>
  <c r="GB27" i="8"/>
  <c r="GC26" i="8"/>
  <c r="GB26" i="8"/>
  <c r="GC25" i="8"/>
  <c r="GB25" i="8"/>
  <c r="GC24" i="8"/>
  <c r="GB24" i="8"/>
  <c r="GC23" i="8"/>
  <c r="GB23" i="8"/>
  <c r="GC22" i="8"/>
  <c r="GB22" i="8"/>
  <c r="GC21" i="8"/>
  <c r="GB21" i="8"/>
  <c r="GC20" i="8"/>
  <c r="GB20" i="8"/>
  <c r="GC19" i="8"/>
  <c r="GB19" i="8"/>
  <c r="GC18" i="8"/>
  <c r="GB18" i="8"/>
  <c r="GC17" i="8"/>
  <c r="GB17" i="8"/>
  <c r="GC16" i="8"/>
  <c r="GB16" i="8"/>
  <c r="GC15" i="8"/>
  <c r="GB15" i="8"/>
  <c r="GC14" i="8"/>
  <c r="GB14" i="8"/>
  <c r="GC13" i="8"/>
  <c r="GB13" i="8"/>
  <c r="GC12" i="8"/>
  <c r="GB12" i="8"/>
  <c r="GC11" i="8"/>
  <c r="GB11" i="8"/>
  <c r="GC10" i="8"/>
  <c r="GB10" i="8"/>
  <c r="C5" i="8"/>
  <c r="C4" i="8"/>
  <c r="C3" i="8"/>
  <c r="C2" i="8"/>
  <c r="C1" i="8"/>
  <c r="FY2" i="6"/>
  <c r="FX2" i="6"/>
  <c r="FW2" i="6"/>
  <c r="FV2" i="6"/>
  <c r="FU2" i="6"/>
  <c r="FT2" i="6"/>
  <c r="FS2" i="6"/>
  <c r="FR2" i="6"/>
  <c r="FQ2" i="6"/>
  <c r="FO2" i="6"/>
  <c r="FN2" i="6"/>
  <c r="FM2" i="6"/>
  <c r="FL2" i="6"/>
  <c r="FK2" i="6"/>
  <c r="FJ2" i="6"/>
  <c r="FI2" i="6"/>
  <c r="FH2" i="6"/>
  <c r="FG2" i="6"/>
  <c r="FE2" i="6"/>
  <c r="FD2" i="6"/>
  <c r="FC2" i="6"/>
  <c r="FB2" i="6"/>
  <c r="FA2" i="6"/>
  <c r="EZ2" i="6"/>
  <c r="EY2" i="6"/>
  <c r="EX2" i="6"/>
  <c r="EW2" i="6"/>
  <c r="EU2" i="6"/>
  <c r="ET2" i="6"/>
  <c r="ES2" i="6"/>
  <c r="ER2" i="6"/>
  <c r="EQ2" i="6"/>
  <c r="EP2" i="6"/>
  <c r="EO2" i="6"/>
  <c r="EN2" i="6"/>
  <c r="EM2" i="6"/>
  <c r="EK2" i="6"/>
  <c r="EJ2" i="6"/>
  <c r="EI2" i="6"/>
  <c r="EH2" i="6"/>
  <c r="EG2" i="6"/>
  <c r="EF2" i="6"/>
  <c r="EE2" i="6"/>
  <c r="ED2" i="6"/>
  <c r="EC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U2" i="6"/>
  <c r="AT2" i="6"/>
  <c r="AS2" i="6"/>
  <c r="AR2" i="6"/>
  <c r="AQ2" i="6"/>
  <c r="AP2" i="6"/>
  <c r="AO2" i="6"/>
  <c r="AN2" i="6"/>
  <c r="AM2" i="6"/>
  <c r="AL2" i="6"/>
  <c r="AJ2" i="6"/>
  <c r="AI2" i="6"/>
  <c r="AH2" i="6"/>
  <c r="AG2" i="6"/>
  <c r="AF2" i="6"/>
  <c r="AE2" i="6"/>
  <c r="AD2" i="6"/>
  <c r="AC2" i="6"/>
  <c r="AB2" i="6"/>
  <c r="AA2" i="6"/>
  <c r="Y2" i="6"/>
  <c r="X2" i="6"/>
  <c r="W2" i="6"/>
  <c r="V2" i="6"/>
  <c r="U2" i="6"/>
  <c r="T2" i="6"/>
  <c r="S2" i="6"/>
  <c r="R2" i="6"/>
  <c r="Q2" i="6"/>
  <c r="P2" i="6"/>
  <c r="N2" i="6"/>
  <c r="M2" i="6"/>
  <c r="L2" i="6"/>
  <c r="K2" i="6"/>
  <c r="J2" i="6"/>
  <c r="I2" i="6"/>
  <c r="H2" i="6"/>
  <c r="G2" i="6"/>
  <c r="F2" i="6"/>
  <c r="E2" i="6"/>
  <c r="C32" i="6"/>
  <c r="FZ32" i="6" s="1"/>
  <c r="B32" i="6"/>
  <c r="C31" i="6"/>
  <c r="FZ31" i="6" s="1"/>
  <c r="B31" i="6"/>
  <c r="C30" i="6"/>
  <c r="FZ30" i="6" s="1"/>
  <c r="B30" i="6"/>
  <c r="C29" i="6"/>
  <c r="FZ29" i="6" s="1"/>
  <c r="B29" i="6"/>
  <c r="C28" i="6"/>
  <c r="FZ28" i="6" s="1"/>
  <c r="B28" i="6"/>
  <c r="C27" i="6"/>
  <c r="FZ27" i="6" s="1"/>
  <c r="B27" i="6"/>
  <c r="C26" i="6"/>
  <c r="FZ26" i="6" s="1"/>
  <c r="B26" i="6"/>
  <c r="C25" i="6"/>
  <c r="FZ25" i="6" s="1"/>
  <c r="B25" i="6"/>
  <c r="C24" i="6"/>
  <c r="FZ24" i="6" s="1"/>
  <c r="B24" i="6"/>
  <c r="C23" i="6"/>
  <c r="FZ23" i="6" s="1"/>
  <c r="B23" i="6"/>
  <c r="C22" i="6"/>
  <c r="FZ22" i="6" s="1"/>
  <c r="B22" i="6"/>
  <c r="C21" i="6"/>
  <c r="FZ21" i="6" s="1"/>
  <c r="B21" i="6"/>
  <c r="C20" i="6"/>
  <c r="FZ20" i="6" s="1"/>
  <c r="B20" i="6"/>
  <c r="C19" i="6"/>
  <c r="FZ19" i="6" s="1"/>
  <c r="B19" i="6"/>
  <c r="C18" i="6"/>
  <c r="FZ18" i="6" s="1"/>
  <c r="B18" i="6"/>
  <c r="C17" i="6"/>
  <c r="FZ17" i="6" s="1"/>
  <c r="B17" i="6"/>
  <c r="C16" i="6"/>
  <c r="FZ16" i="6" s="1"/>
  <c r="B16" i="6"/>
  <c r="C15" i="6"/>
  <c r="FZ15" i="6" s="1"/>
  <c r="B15" i="6"/>
  <c r="C14" i="6"/>
  <c r="FZ14" i="6" s="1"/>
  <c r="B14" i="6"/>
  <c r="C13" i="6"/>
  <c r="FZ13" i="6" s="1"/>
  <c r="B13" i="6"/>
  <c r="C12" i="6"/>
  <c r="FZ12" i="6" s="1"/>
  <c r="B12" i="6"/>
  <c r="C11" i="6"/>
  <c r="FZ11" i="6" s="1"/>
  <c r="B11" i="6"/>
  <c r="C10" i="6"/>
  <c r="FZ10" i="6" s="1"/>
  <c r="B10" i="6"/>
  <c r="C9" i="6"/>
  <c r="B9" i="6"/>
  <c r="C8" i="6"/>
  <c r="FZ8" i="6" s="1"/>
  <c r="B8" i="6"/>
  <c r="C7" i="6"/>
  <c r="B7" i="6"/>
  <c r="C6" i="6"/>
  <c r="FZ6" i="6" s="1"/>
  <c r="B6" i="6"/>
  <c r="C5" i="6"/>
  <c r="B5" i="6"/>
  <c r="C4" i="6"/>
  <c r="FZ4" i="6" s="1"/>
  <c r="B4" i="6"/>
  <c r="C3" i="6"/>
  <c r="FZ3" i="6" s="1"/>
  <c r="B3" i="6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U5" i="4"/>
  <c r="U4" i="4"/>
  <c r="U3" i="4"/>
  <c r="E33" i="4"/>
  <c r="T33" i="4"/>
  <c r="T34" i="4" s="1"/>
  <c r="T2" i="4"/>
  <c r="T1" i="4"/>
  <c r="S33" i="4"/>
  <c r="S34" i="4" s="1"/>
  <c r="S2" i="4"/>
  <c r="S1" i="4"/>
  <c r="R33" i="4"/>
  <c r="R34" i="4" s="1"/>
  <c r="R2" i="4"/>
  <c r="R1" i="4"/>
  <c r="Q33" i="4"/>
  <c r="Q34" i="4" s="1"/>
  <c r="Q2" i="4"/>
  <c r="Q1" i="4"/>
  <c r="P33" i="4"/>
  <c r="P34" i="4" s="1"/>
  <c r="P2" i="4"/>
  <c r="P1" i="4"/>
  <c r="O33" i="4"/>
  <c r="O34" i="4" s="1"/>
  <c r="O2" i="4"/>
  <c r="O1" i="4"/>
  <c r="N33" i="4"/>
  <c r="N34" i="4" s="1"/>
  <c r="N2" i="4"/>
  <c r="N1" i="4"/>
  <c r="M33" i="4"/>
  <c r="M34" i="4" s="1"/>
  <c r="M2" i="4"/>
  <c r="M1" i="4"/>
  <c r="L33" i="4"/>
  <c r="L34" i="4" s="1"/>
  <c r="L2" i="4"/>
  <c r="L1" i="4"/>
  <c r="K33" i="4"/>
  <c r="K34" i="4" s="1"/>
  <c r="K2" i="4"/>
  <c r="K1" i="4"/>
  <c r="J33" i="4"/>
  <c r="J34" i="4" s="1"/>
  <c r="J2" i="4"/>
  <c r="J1" i="4"/>
  <c r="I33" i="4"/>
  <c r="I34" i="4" s="1"/>
  <c r="I2" i="4"/>
  <c r="I1" i="4"/>
  <c r="H33" i="4"/>
  <c r="H34" i="4" s="1"/>
  <c r="H2" i="4"/>
  <c r="H1" i="4"/>
  <c r="G33" i="4"/>
  <c r="G34" i="4" s="1"/>
  <c r="G2" i="4"/>
  <c r="G1" i="4"/>
  <c r="F33" i="4"/>
  <c r="F34" i="4" s="1"/>
  <c r="F2" i="4"/>
  <c r="F1" i="4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C3" i="11"/>
  <c r="A2" i="11"/>
  <c r="HL159" i="8"/>
  <c r="HK159" i="8"/>
  <c r="HJ159" i="8"/>
  <c r="HI159" i="8"/>
  <c r="HH159" i="8"/>
  <c r="HG159" i="8"/>
  <c r="HF159" i="8"/>
  <c r="HE159" i="8"/>
  <c r="HD159" i="8"/>
  <c r="HC159" i="8"/>
  <c r="HB159" i="8"/>
  <c r="HA159" i="8"/>
  <c r="GZ159" i="8"/>
  <c r="GY159" i="8"/>
  <c r="GX159" i="8"/>
  <c r="FZ8" i="8"/>
  <c r="FY8" i="8"/>
  <c r="FX8" i="8"/>
  <c r="FW8" i="8"/>
  <c r="FV8" i="8"/>
  <c r="FU9" i="8"/>
  <c r="FU8" i="8"/>
  <c r="FV6" i="8"/>
  <c r="FT8" i="8"/>
  <c r="FS8" i="8"/>
  <c r="FR8" i="8"/>
  <c r="FQ8" i="8"/>
  <c r="FP8" i="8"/>
  <c r="FO9" i="8"/>
  <c r="FO8" i="8"/>
  <c r="FP6" i="8"/>
  <c r="FN8" i="8"/>
  <c r="FM8" i="8"/>
  <c r="FL8" i="8"/>
  <c r="FK8" i="8"/>
  <c r="FJ8" i="8"/>
  <c r="FI8" i="8"/>
  <c r="FH8" i="8"/>
  <c r="FG8" i="8"/>
  <c r="FF8" i="8"/>
  <c r="FE8" i="8"/>
  <c r="FD8" i="8"/>
  <c r="FC9" i="8"/>
  <c r="FC8" i="8"/>
  <c r="FD6" i="8"/>
  <c r="FB8" i="8"/>
  <c r="FA8" i="8"/>
  <c r="EZ8" i="8"/>
  <c r="EY8" i="8"/>
  <c r="EX8" i="8"/>
  <c r="EW8" i="8"/>
  <c r="EV8" i="8"/>
  <c r="EU8" i="8"/>
  <c r="ET8" i="8"/>
  <c r="ES8" i="8"/>
  <c r="ER8" i="8"/>
  <c r="EQ9" i="8"/>
  <c r="EQ8" i="8"/>
  <c r="ER6" i="8"/>
  <c r="EP8" i="8"/>
  <c r="EO8" i="8"/>
  <c r="EN8" i="8"/>
  <c r="EM8" i="8"/>
  <c r="EL8" i="8"/>
  <c r="EK8" i="8"/>
  <c r="EJ8" i="8"/>
  <c r="EI8" i="8"/>
  <c r="EH8" i="8"/>
  <c r="EG8" i="8"/>
  <c r="EF8" i="8"/>
  <c r="EE9" i="8"/>
  <c r="EE8" i="8"/>
  <c r="EF6" i="8"/>
  <c r="ED8" i="8"/>
  <c r="EC8" i="8"/>
  <c r="EB8" i="8"/>
  <c r="EA8" i="8"/>
  <c r="DZ8" i="8"/>
  <c r="DY8" i="8"/>
  <c r="DX8" i="8"/>
  <c r="DW8" i="8"/>
  <c r="DV8" i="8"/>
  <c r="DU8" i="8"/>
  <c r="DT8" i="8"/>
  <c r="DS8" i="8"/>
  <c r="DR8" i="8"/>
  <c r="DQ8" i="8"/>
  <c r="DP8" i="8"/>
  <c r="DO9" i="8"/>
  <c r="DO8" i="8"/>
  <c r="DP6" i="8"/>
  <c r="DN8" i="8"/>
  <c r="DM8" i="8"/>
  <c r="DL8" i="8"/>
  <c r="DK8" i="8"/>
  <c r="DJ8" i="8"/>
  <c r="DI8" i="8"/>
  <c r="DH8" i="8"/>
  <c r="DG8" i="8"/>
  <c r="DF8" i="8"/>
  <c r="DE8" i="8"/>
  <c r="DD8" i="8"/>
  <c r="DC8" i="8"/>
  <c r="DB8" i="8"/>
  <c r="DA8" i="8"/>
  <c r="CZ8" i="8"/>
  <c r="CY9" i="8"/>
  <c r="CY8" i="8"/>
  <c r="CZ6" i="8"/>
  <c r="CX8" i="8"/>
  <c r="CW8" i="8"/>
  <c r="CV8" i="8"/>
  <c r="CU8" i="8"/>
  <c r="CT8" i="8"/>
  <c r="CS8" i="8"/>
  <c r="CR8" i="8"/>
  <c r="CQ8" i="8"/>
  <c r="CP8" i="8"/>
  <c r="CO8" i="8"/>
  <c r="CN8" i="8"/>
  <c r="CM8" i="8"/>
  <c r="CL8" i="8"/>
  <c r="CK8" i="8"/>
  <c r="CJ8" i="8"/>
  <c r="CI9" i="8"/>
  <c r="CI8" i="8"/>
  <c r="CJ6" i="8"/>
  <c r="CH8" i="8"/>
  <c r="CG8" i="8"/>
  <c r="CF8" i="8"/>
  <c r="CE8" i="8"/>
  <c r="CD8" i="8"/>
  <c r="CC8" i="8"/>
  <c r="CB8" i="8"/>
  <c r="CA8" i="8"/>
  <c r="BZ8" i="8"/>
  <c r="BY8" i="8"/>
  <c r="BX8" i="8"/>
  <c r="BW8" i="8"/>
  <c r="BV8" i="8"/>
  <c r="BU8" i="8"/>
  <c r="BT8" i="8"/>
  <c r="BS9" i="8"/>
  <c r="BS8" i="8"/>
  <c r="BT6" i="8"/>
  <c r="BR8" i="8"/>
  <c r="BQ8" i="8"/>
  <c r="BP8" i="8"/>
  <c r="BO8" i="8"/>
  <c r="BN8" i="8"/>
  <c r="BM8" i="8"/>
  <c r="BL8" i="8"/>
  <c r="BK8" i="8"/>
  <c r="BJ8" i="8"/>
  <c r="BI8" i="8"/>
  <c r="BH9" i="8"/>
  <c r="BH8" i="8"/>
  <c r="BI6" i="8"/>
  <c r="BG8" i="8"/>
  <c r="BF8" i="8"/>
  <c r="BE8" i="8"/>
  <c r="BD8" i="8"/>
  <c r="BC8" i="8"/>
  <c r="BB8" i="8"/>
  <c r="BA8" i="8"/>
  <c r="AZ8" i="8"/>
  <c r="AY8" i="8"/>
  <c r="AX8" i="8"/>
  <c r="AW9" i="8"/>
  <c r="AW8" i="8"/>
  <c r="AX6" i="8"/>
  <c r="AV8" i="8"/>
  <c r="AU8" i="8"/>
  <c r="AT8" i="8"/>
  <c r="AS8" i="8"/>
  <c r="AR8" i="8"/>
  <c r="AQ8" i="8"/>
  <c r="AP8" i="8"/>
  <c r="AO8" i="8"/>
  <c r="AN8" i="8"/>
  <c r="AM8" i="8"/>
  <c r="AL9" i="8"/>
  <c r="AL8" i="8"/>
  <c r="AM6" i="8"/>
  <c r="AK8" i="8"/>
  <c r="AJ8" i="8"/>
  <c r="AI8" i="8"/>
  <c r="AH8" i="8"/>
  <c r="AG8" i="8"/>
  <c r="AF8" i="8"/>
  <c r="AE8" i="8"/>
  <c r="AD8" i="8"/>
  <c r="AC8" i="8"/>
  <c r="AB8" i="8"/>
  <c r="AA9" i="8"/>
  <c r="AA8" i="8"/>
  <c r="AB6" i="8"/>
  <c r="Z8" i="8"/>
  <c r="Y8" i="8"/>
  <c r="X8" i="8"/>
  <c r="W8" i="8"/>
  <c r="V8" i="8"/>
  <c r="U8" i="8"/>
  <c r="T8" i="8"/>
  <c r="S8" i="8"/>
  <c r="R8" i="8"/>
  <c r="Q8" i="8"/>
  <c r="P9" i="8"/>
  <c r="P8" i="8"/>
  <c r="Q6" i="8"/>
  <c r="O8" i="8"/>
  <c r="N8" i="8"/>
  <c r="M8" i="8"/>
  <c r="L8" i="8"/>
  <c r="K8" i="8"/>
  <c r="J8" i="8"/>
  <c r="I8" i="8"/>
  <c r="H8" i="8"/>
  <c r="G8" i="8"/>
  <c r="F8" i="8"/>
  <c r="E9" i="8"/>
  <c r="F6" i="8"/>
  <c r="C7" i="8"/>
  <c r="D13" i="9" s="1"/>
  <c r="C6" i="8"/>
  <c r="D14" i="9" s="1"/>
  <c r="GC8" i="8"/>
  <c r="GB8" i="8"/>
  <c r="GR159" i="8"/>
  <c r="GQ159" i="8"/>
  <c r="GP159" i="8"/>
  <c r="GO159" i="8"/>
  <c r="GN159" i="8"/>
  <c r="GM159" i="8"/>
  <c r="GL159" i="8"/>
  <c r="GK159" i="8"/>
  <c r="GJ159" i="8"/>
  <c r="GI159" i="8"/>
  <c r="GH159" i="8"/>
  <c r="GG159" i="8"/>
  <c r="GF159" i="8"/>
  <c r="GE159" i="8"/>
  <c r="GD159" i="8"/>
  <c r="GR158" i="8"/>
  <c r="GQ158" i="8"/>
  <c r="GP158" i="8"/>
  <c r="GO158" i="8"/>
  <c r="GN158" i="8"/>
  <c r="GM158" i="8"/>
  <c r="GL158" i="8"/>
  <c r="GK158" i="8"/>
  <c r="GJ158" i="8"/>
  <c r="GI158" i="8"/>
  <c r="GH158" i="8"/>
  <c r="GG158" i="8"/>
  <c r="GF158" i="8"/>
  <c r="GE158" i="8"/>
  <c r="GD158" i="8"/>
  <c r="GR157" i="8"/>
  <c r="GQ157" i="8"/>
  <c r="GP157" i="8"/>
  <c r="GO157" i="8"/>
  <c r="GN157" i="8"/>
  <c r="GM157" i="8"/>
  <c r="GL157" i="8"/>
  <c r="GK157" i="8"/>
  <c r="GJ157" i="8"/>
  <c r="GI157" i="8"/>
  <c r="GH157" i="8"/>
  <c r="GG157" i="8"/>
  <c r="GF157" i="8"/>
  <c r="GE157" i="8"/>
  <c r="GD157" i="8"/>
  <c r="GR156" i="8"/>
  <c r="GQ156" i="8"/>
  <c r="GP156" i="8"/>
  <c r="GO156" i="8"/>
  <c r="GN156" i="8"/>
  <c r="GM156" i="8"/>
  <c r="GL156" i="8"/>
  <c r="GK156" i="8"/>
  <c r="GJ156" i="8"/>
  <c r="GI156" i="8"/>
  <c r="GH156" i="8"/>
  <c r="GG156" i="8"/>
  <c r="GF156" i="8"/>
  <c r="GE156" i="8"/>
  <c r="GD156" i="8"/>
  <c r="GR155" i="8"/>
  <c r="GQ155" i="8"/>
  <c r="GP155" i="8"/>
  <c r="GO155" i="8"/>
  <c r="GN155" i="8"/>
  <c r="GM155" i="8"/>
  <c r="GL155" i="8"/>
  <c r="GK155" i="8"/>
  <c r="GJ155" i="8"/>
  <c r="GI155" i="8"/>
  <c r="GH155" i="8"/>
  <c r="GG155" i="8"/>
  <c r="GF155" i="8"/>
  <c r="GE155" i="8"/>
  <c r="GD155" i="8"/>
  <c r="GR154" i="8"/>
  <c r="GQ154" i="8"/>
  <c r="GP154" i="8"/>
  <c r="GO154" i="8"/>
  <c r="GN154" i="8"/>
  <c r="GM154" i="8"/>
  <c r="GL154" i="8"/>
  <c r="GK154" i="8"/>
  <c r="GJ154" i="8"/>
  <c r="GI154" i="8"/>
  <c r="GH154" i="8"/>
  <c r="GG154" i="8"/>
  <c r="GF154" i="8"/>
  <c r="GE154" i="8"/>
  <c r="GD154" i="8"/>
  <c r="GR153" i="8"/>
  <c r="GQ153" i="8"/>
  <c r="GP153" i="8"/>
  <c r="GO153" i="8"/>
  <c r="GN153" i="8"/>
  <c r="GM153" i="8"/>
  <c r="GL153" i="8"/>
  <c r="GK153" i="8"/>
  <c r="GJ153" i="8"/>
  <c r="GI153" i="8"/>
  <c r="GH153" i="8"/>
  <c r="GG153" i="8"/>
  <c r="GF153" i="8"/>
  <c r="GE153" i="8"/>
  <c r="GD153" i="8"/>
  <c r="GR152" i="8"/>
  <c r="GQ152" i="8"/>
  <c r="GP152" i="8"/>
  <c r="GO152" i="8"/>
  <c r="GN152" i="8"/>
  <c r="GM152" i="8"/>
  <c r="GL152" i="8"/>
  <c r="GK152" i="8"/>
  <c r="GJ152" i="8"/>
  <c r="GI152" i="8"/>
  <c r="GH152" i="8"/>
  <c r="GG152" i="8"/>
  <c r="GF152" i="8"/>
  <c r="GE152" i="8"/>
  <c r="GD152" i="8"/>
  <c r="GR151" i="8"/>
  <c r="GQ151" i="8"/>
  <c r="GP151" i="8"/>
  <c r="GO151" i="8"/>
  <c r="GN151" i="8"/>
  <c r="GM151" i="8"/>
  <c r="GL151" i="8"/>
  <c r="GK151" i="8"/>
  <c r="GJ151" i="8"/>
  <c r="GI151" i="8"/>
  <c r="GH151" i="8"/>
  <c r="GG151" i="8"/>
  <c r="GF151" i="8"/>
  <c r="GE151" i="8"/>
  <c r="GD151" i="8"/>
  <c r="GR150" i="8"/>
  <c r="GQ150" i="8"/>
  <c r="GP150" i="8"/>
  <c r="GO150" i="8"/>
  <c r="GN150" i="8"/>
  <c r="GM150" i="8"/>
  <c r="GL150" i="8"/>
  <c r="GK150" i="8"/>
  <c r="GJ150" i="8"/>
  <c r="GI150" i="8"/>
  <c r="GH150" i="8"/>
  <c r="GG150" i="8"/>
  <c r="GF150" i="8"/>
  <c r="GE150" i="8"/>
  <c r="GD150" i="8"/>
  <c r="GR149" i="8"/>
  <c r="GQ149" i="8"/>
  <c r="GP149" i="8"/>
  <c r="GO149" i="8"/>
  <c r="GN149" i="8"/>
  <c r="GM149" i="8"/>
  <c r="GL149" i="8"/>
  <c r="GK149" i="8"/>
  <c r="GJ149" i="8"/>
  <c r="GI149" i="8"/>
  <c r="GH149" i="8"/>
  <c r="GG149" i="8"/>
  <c r="GF149" i="8"/>
  <c r="GE149" i="8"/>
  <c r="GD149" i="8"/>
  <c r="GR148" i="8"/>
  <c r="GQ148" i="8"/>
  <c r="GP148" i="8"/>
  <c r="GO148" i="8"/>
  <c r="GN148" i="8"/>
  <c r="GM148" i="8"/>
  <c r="GL148" i="8"/>
  <c r="GK148" i="8"/>
  <c r="GJ148" i="8"/>
  <c r="GI148" i="8"/>
  <c r="GH148" i="8"/>
  <c r="GG148" i="8"/>
  <c r="GF148" i="8"/>
  <c r="GE148" i="8"/>
  <c r="GD148" i="8"/>
  <c r="GR147" i="8"/>
  <c r="GQ147" i="8"/>
  <c r="GP147" i="8"/>
  <c r="GO147" i="8"/>
  <c r="GN147" i="8"/>
  <c r="GM147" i="8"/>
  <c r="GL147" i="8"/>
  <c r="GK147" i="8"/>
  <c r="GJ147" i="8"/>
  <c r="GI147" i="8"/>
  <c r="GH147" i="8"/>
  <c r="GG147" i="8"/>
  <c r="GF147" i="8"/>
  <c r="GE147" i="8"/>
  <c r="GD147" i="8"/>
  <c r="GR146" i="8"/>
  <c r="GQ146" i="8"/>
  <c r="GP146" i="8"/>
  <c r="GO146" i="8"/>
  <c r="GN146" i="8"/>
  <c r="GM146" i="8"/>
  <c r="GL146" i="8"/>
  <c r="GK146" i="8"/>
  <c r="GJ146" i="8"/>
  <c r="GI146" i="8"/>
  <c r="GH146" i="8"/>
  <c r="GG146" i="8"/>
  <c r="GF146" i="8"/>
  <c r="GE146" i="8"/>
  <c r="GD146" i="8"/>
  <c r="GR145" i="8"/>
  <c r="GQ145" i="8"/>
  <c r="GP145" i="8"/>
  <c r="GO145" i="8"/>
  <c r="GN145" i="8"/>
  <c r="GM145" i="8"/>
  <c r="GL145" i="8"/>
  <c r="GK145" i="8"/>
  <c r="GJ145" i="8"/>
  <c r="GI145" i="8"/>
  <c r="GH145" i="8"/>
  <c r="GG145" i="8"/>
  <c r="GF145" i="8"/>
  <c r="GE145" i="8"/>
  <c r="GD145" i="8"/>
  <c r="GR144" i="8"/>
  <c r="GQ144" i="8"/>
  <c r="GP144" i="8"/>
  <c r="GO144" i="8"/>
  <c r="GN144" i="8"/>
  <c r="GM144" i="8"/>
  <c r="GL144" i="8"/>
  <c r="GK144" i="8"/>
  <c r="GJ144" i="8"/>
  <c r="GI144" i="8"/>
  <c r="GH144" i="8"/>
  <c r="GG144" i="8"/>
  <c r="GF144" i="8"/>
  <c r="GE144" i="8"/>
  <c r="GD144" i="8"/>
  <c r="GR143" i="8"/>
  <c r="GQ143" i="8"/>
  <c r="GP143" i="8"/>
  <c r="GO143" i="8"/>
  <c r="GN143" i="8"/>
  <c r="GM143" i="8"/>
  <c r="GL143" i="8"/>
  <c r="GK143" i="8"/>
  <c r="GJ143" i="8"/>
  <c r="GI143" i="8"/>
  <c r="GH143" i="8"/>
  <c r="GG143" i="8"/>
  <c r="GF143" i="8"/>
  <c r="GE143" i="8"/>
  <c r="GD143" i="8"/>
  <c r="GR142" i="8"/>
  <c r="GQ142" i="8"/>
  <c r="GP142" i="8"/>
  <c r="GO142" i="8"/>
  <c r="GN142" i="8"/>
  <c r="GM142" i="8"/>
  <c r="GL142" i="8"/>
  <c r="GK142" i="8"/>
  <c r="GJ142" i="8"/>
  <c r="GI142" i="8"/>
  <c r="GH142" i="8"/>
  <c r="GG142" i="8"/>
  <c r="GF142" i="8"/>
  <c r="GE142" i="8"/>
  <c r="GD142" i="8"/>
  <c r="GR141" i="8"/>
  <c r="GQ141" i="8"/>
  <c r="GP141" i="8"/>
  <c r="GO141" i="8"/>
  <c r="GN141" i="8"/>
  <c r="GM141" i="8"/>
  <c r="GL141" i="8"/>
  <c r="GK141" i="8"/>
  <c r="GJ141" i="8"/>
  <c r="GI141" i="8"/>
  <c r="GH141" i="8"/>
  <c r="GG141" i="8"/>
  <c r="GF141" i="8"/>
  <c r="GE141" i="8"/>
  <c r="GD141" i="8"/>
  <c r="GR140" i="8"/>
  <c r="GQ140" i="8"/>
  <c r="GP140" i="8"/>
  <c r="GO140" i="8"/>
  <c r="GN140" i="8"/>
  <c r="GM140" i="8"/>
  <c r="GL140" i="8"/>
  <c r="GK140" i="8"/>
  <c r="GJ140" i="8"/>
  <c r="GI140" i="8"/>
  <c r="GH140" i="8"/>
  <c r="GG140" i="8"/>
  <c r="GF140" i="8"/>
  <c r="GE140" i="8"/>
  <c r="GD140" i="8"/>
  <c r="GR139" i="8"/>
  <c r="GQ139" i="8"/>
  <c r="GP139" i="8"/>
  <c r="GO139" i="8"/>
  <c r="GN139" i="8"/>
  <c r="GM139" i="8"/>
  <c r="GL139" i="8"/>
  <c r="GK139" i="8"/>
  <c r="GJ139" i="8"/>
  <c r="GI139" i="8"/>
  <c r="GH139" i="8"/>
  <c r="GG139" i="8"/>
  <c r="GF139" i="8"/>
  <c r="GE139" i="8"/>
  <c r="GD139" i="8"/>
  <c r="GR138" i="8"/>
  <c r="GQ138" i="8"/>
  <c r="GP138" i="8"/>
  <c r="GO138" i="8"/>
  <c r="GN138" i="8"/>
  <c r="GM138" i="8"/>
  <c r="GL138" i="8"/>
  <c r="GK138" i="8"/>
  <c r="GJ138" i="8"/>
  <c r="GI138" i="8"/>
  <c r="GH138" i="8"/>
  <c r="GG138" i="8"/>
  <c r="GF138" i="8"/>
  <c r="GE138" i="8"/>
  <c r="GD138" i="8"/>
  <c r="GR137" i="8"/>
  <c r="GQ137" i="8"/>
  <c r="GP137" i="8"/>
  <c r="GO137" i="8"/>
  <c r="GN137" i="8"/>
  <c r="GM137" i="8"/>
  <c r="GL137" i="8"/>
  <c r="GK137" i="8"/>
  <c r="GJ137" i="8"/>
  <c r="GI137" i="8"/>
  <c r="GH137" i="8"/>
  <c r="GG137" i="8"/>
  <c r="GF137" i="8"/>
  <c r="GE137" i="8"/>
  <c r="GD137" i="8"/>
  <c r="GR136" i="8"/>
  <c r="GQ136" i="8"/>
  <c r="GP136" i="8"/>
  <c r="GO136" i="8"/>
  <c r="GN136" i="8"/>
  <c r="GM136" i="8"/>
  <c r="GL136" i="8"/>
  <c r="GK136" i="8"/>
  <c r="GJ136" i="8"/>
  <c r="GI136" i="8"/>
  <c r="GH136" i="8"/>
  <c r="GG136" i="8"/>
  <c r="GF136" i="8"/>
  <c r="GE136" i="8"/>
  <c r="GD136" i="8"/>
  <c r="GR135" i="8"/>
  <c r="GQ135" i="8"/>
  <c r="GP135" i="8"/>
  <c r="GO135" i="8"/>
  <c r="GN135" i="8"/>
  <c r="GM135" i="8"/>
  <c r="GL135" i="8"/>
  <c r="GK135" i="8"/>
  <c r="GJ135" i="8"/>
  <c r="GI135" i="8"/>
  <c r="GH135" i="8"/>
  <c r="GG135" i="8"/>
  <c r="GF135" i="8"/>
  <c r="GE135" i="8"/>
  <c r="GD135" i="8"/>
  <c r="GR134" i="8"/>
  <c r="GQ134" i="8"/>
  <c r="GP134" i="8"/>
  <c r="GO134" i="8"/>
  <c r="GN134" i="8"/>
  <c r="GM134" i="8"/>
  <c r="GL134" i="8"/>
  <c r="GK134" i="8"/>
  <c r="GJ134" i="8"/>
  <c r="GI134" i="8"/>
  <c r="GH134" i="8"/>
  <c r="GG134" i="8"/>
  <c r="GF134" i="8"/>
  <c r="GE134" i="8"/>
  <c r="GD134" i="8"/>
  <c r="GR133" i="8"/>
  <c r="GQ133" i="8"/>
  <c r="GP133" i="8"/>
  <c r="GO133" i="8"/>
  <c r="GN133" i="8"/>
  <c r="GM133" i="8"/>
  <c r="GL133" i="8"/>
  <c r="GK133" i="8"/>
  <c r="GJ133" i="8"/>
  <c r="GI133" i="8"/>
  <c r="GH133" i="8"/>
  <c r="GG133" i="8"/>
  <c r="GF133" i="8"/>
  <c r="GE133" i="8"/>
  <c r="GD133" i="8"/>
  <c r="GR132" i="8"/>
  <c r="GQ132" i="8"/>
  <c r="GP132" i="8"/>
  <c r="GO132" i="8"/>
  <c r="GN132" i="8"/>
  <c r="GM132" i="8"/>
  <c r="GL132" i="8"/>
  <c r="GK132" i="8"/>
  <c r="GJ132" i="8"/>
  <c r="GI132" i="8"/>
  <c r="GH132" i="8"/>
  <c r="GG132" i="8"/>
  <c r="GF132" i="8"/>
  <c r="GE132" i="8"/>
  <c r="GD132" i="8"/>
  <c r="GR131" i="8"/>
  <c r="GQ131" i="8"/>
  <c r="GP131" i="8"/>
  <c r="GO131" i="8"/>
  <c r="GN131" i="8"/>
  <c r="GM131" i="8"/>
  <c r="GL131" i="8"/>
  <c r="GK131" i="8"/>
  <c r="GJ131" i="8"/>
  <c r="GI131" i="8"/>
  <c r="GH131" i="8"/>
  <c r="GG131" i="8"/>
  <c r="GF131" i="8"/>
  <c r="GE131" i="8"/>
  <c r="GD131" i="8"/>
  <c r="GR130" i="8"/>
  <c r="GQ130" i="8"/>
  <c r="GP130" i="8"/>
  <c r="GO130" i="8"/>
  <c r="GN130" i="8"/>
  <c r="GM130" i="8"/>
  <c r="GL130" i="8"/>
  <c r="GK130" i="8"/>
  <c r="GJ130" i="8"/>
  <c r="GI130" i="8"/>
  <c r="GH130" i="8"/>
  <c r="GG130" i="8"/>
  <c r="GF130" i="8"/>
  <c r="GE130" i="8"/>
  <c r="GD130" i="8"/>
  <c r="GR129" i="8"/>
  <c r="GQ129" i="8"/>
  <c r="GP129" i="8"/>
  <c r="GO129" i="8"/>
  <c r="GN129" i="8"/>
  <c r="GM129" i="8"/>
  <c r="GL129" i="8"/>
  <c r="GK129" i="8"/>
  <c r="GJ129" i="8"/>
  <c r="GI129" i="8"/>
  <c r="GH129" i="8"/>
  <c r="GG129" i="8"/>
  <c r="GF129" i="8"/>
  <c r="GE129" i="8"/>
  <c r="GD129" i="8"/>
  <c r="GR128" i="8"/>
  <c r="GQ128" i="8"/>
  <c r="GP128" i="8"/>
  <c r="GO128" i="8"/>
  <c r="GN128" i="8"/>
  <c r="GM128" i="8"/>
  <c r="GL128" i="8"/>
  <c r="GK128" i="8"/>
  <c r="GJ128" i="8"/>
  <c r="GI128" i="8"/>
  <c r="GH128" i="8"/>
  <c r="GG128" i="8"/>
  <c r="GF128" i="8"/>
  <c r="GE128" i="8"/>
  <c r="GD128" i="8"/>
  <c r="GR127" i="8"/>
  <c r="GQ127" i="8"/>
  <c r="GP127" i="8"/>
  <c r="GO127" i="8"/>
  <c r="GN127" i="8"/>
  <c r="GM127" i="8"/>
  <c r="GL127" i="8"/>
  <c r="GK127" i="8"/>
  <c r="GJ127" i="8"/>
  <c r="GI127" i="8"/>
  <c r="GH127" i="8"/>
  <c r="GG127" i="8"/>
  <c r="GF127" i="8"/>
  <c r="GE127" i="8"/>
  <c r="GD127" i="8"/>
  <c r="GR126" i="8"/>
  <c r="GQ126" i="8"/>
  <c r="GP126" i="8"/>
  <c r="GO126" i="8"/>
  <c r="GN126" i="8"/>
  <c r="GM126" i="8"/>
  <c r="GL126" i="8"/>
  <c r="GK126" i="8"/>
  <c r="GJ126" i="8"/>
  <c r="GI126" i="8"/>
  <c r="GH126" i="8"/>
  <c r="GG126" i="8"/>
  <c r="GF126" i="8"/>
  <c r="GE126" i="8"/>
  <c r="GD126" i="8"/>
  <c r="GR125" i="8"/>
  <c r="GQ125" i="8"/>
  <c r="GP125" i="8"/>
  <c r="GO125" i="8"/>
  <c r="GN125" i="8"/>
  <c r="GM125" i="8"/>
  <c r="GL125" i="8"/>
  <c r="GK125" i="8"/>
  <c r="GJ125" i="8"/>
  <c r="GI125" i="8"/>
  <c r="GH125" i="8"/>
  <c r="GG125" i="8"/>
  <c r="GF125" i="8"/>
  <c r="GE125" i="8"/>
  <c r="GD125" i="8"/>
  <c r="GR124" i="8"/>
  <c r="GQ124" i="8"/>
  <c r="GP124" i="8"/>
  <c r="GO124" i="8"/>
  <c r="GN124" i="8"/>
  <c r="GM124" i="8"/>
  <c r="GL124" i="8"/>
  <c r="GK124" i="8"/>
  <c r="GJ124" i="8"/>
  <c r="GI124" i="8"/>
  <c r="GH124" i="8"/>
  <c r="GG124" i="8"/>
  <c r="GF124" i="8"/>
  <c r="GE124" i="8"/>
  <c r="GD124" i="8"/>
  <c r="GR123" i="8"/>
  <c r="GQ123" i="8"/>
  <c r="GP123" i="8"/>
  <c r="GO123" i="8"/>
  <c r="GN123" i="8"/>
  <c r="GM123" i="8"/>
  <c r="GL123" i="8"/>
  <c r="GK123" i="8"/>
  <c r="GJ123" i="8"/>
  <c r="GI123" i="8"/>
  <c r="GH123" i="8"/>
  <c r="GG123" i="8"/>
  <c r="GF123" i="8"/>
  <c r="GE123" i="8"/>
  <c r="GD123" i="8"/>
  <c r="GR122" i="8"/>
  <c r="GQ122" i="8"/>
  <c r="GP122" i="8"/>
  <c r="GO122" i="8"/>
  <c r="GN122" i="8"/>
  <c r="GM122" i="8"/>
  <c r="GL122" i="8"/>
  <c r="GK122" i="8"/>
  <c r="GJ122" i="8"/>
  <c r="GI122" i="8"/>
  <c r="GH122" i="8"/>
  <c r="GG122" i="8"/>
  <c r="GF122" i="8"/>
  <c r="GE122" i="8"/>
  <c r="GD122" i="8"/>
  <c r="GR121" i="8"/>
  <c r="GQ121" i="8"/>
  <c r="GP121" i="8"/>
  <c r="GO121" i="8"/>
  <c r="GN121" i="8"/>
  <c r="GM121" i="8"/>
  <c r="GL121" i="8"/>
  <c r="GK121" i="8"/>
  <c r="GJ121" i="8"/>
  <c r="GI121" i="8"/>
  <c r="GH121" i="8"/>
  <c r="GG121" i="8"/>
  <c r="GF121" i="8"/>
  <c r="GE121" i="8"/>
  <c r="GD121" i="8"/>
  <c r="GR120" i="8"/>
  <c r="GQ120" i="8"/>
  <c r="GP120" i="8"/>
  <c r="GO120" i="8"/>
  <c r="GN120" i="8"/>
  <c r="GM120" i="8"/>
  <c r="GL120" i="8"/>
  <c r="GK120" i="8"/>
  <c r="GJ120" i="8"/>
  <c r="GI120" i="8"/>
  <c r="GH120" i="8"/>
  <c r="GG120" i="8"/>
  <c r="GF120" i="8"/>
  <c r="GE120" i="8"/>
  <c r="GD120" i="8"/>
  <c r="GR119" i="8"/>
  <c r="GQ119" i="8"/>
  <c r="GP119" i="8"/>
  <c r="GO119" i="8"/>
  <c r="GN119" i="8"/>
  <c r="GM119" i="8"/>
  <c r="GL119" i="8"/>
  <c r="GK119" i="8"/>
  <c r="GJ119" i="8"/>
  <c r="GI119" i="8"/>
  <c r="GH119" i="8"/>
  <c r="GG119" i="8"/>
  <c r="GF119" i="8"/>
  <c r="GE119" i="8"/>
  <c r="GD119" i="8"/>
  <c r="GR118" i="8"/>
  <c r="GQ118" i="8"/>
  <c r="GP118" i="8"/>
  <c r="GO118" i="8"/>
  <c r="GN118" i="8"/>
  <c r="GM118" i="8"/>
  <c r="GL118" i="8"/>
  <c r="GK118" i="8"/>
  <c r="GJ118" i="8"/>
  <c r="GI118" i="8"/>
  <c r="GH118" i="8"/>
  <c r="GG118" i="8"/>
  <c r="GF118" i="8"/>
  <c r="GE118" i="8"/>
  <c r="GD118" i="8"/>
  <c r="GR117" i="8"/>
  <c r="GQ117" i="8"/>
  <c r="GP117" i="8"/>
  <c r="GO117" i="8"/>
  <c r="GN117" i="8"/>
  <c r="GM117" i="8"/>
  <c r="GL117" i="8"/>
  <c r="GK117" i="8"/>
  <c r="GJ117" i="8"/>
  <c r="GI117" i="8"/>
  <c r="GH117" i="8"/>
  <c r="GG117" i="8"/>
  <c r="GF117" i="8"/>
  <c r="GE117" i="8"/>
  <c r="GD117" i="8"/>
  <c r="GR116" i="8"/>
  <c r="GQ116" i="8"/>
  <c r="GP116" i="8"/>
  <c r="GO116" i="8"/>
  <c r="GN116" i="8"/>
  <c r="GM116" i="8"/>
  <c r="GL116" i="8"/>
  <c r="GK116" i="8"/>
  <c r="GJ116" i="8"/>
  <c r="GI116" i="8"/>
  <c r="GH116" i="8"/>
  <c r="GG116" i="8"/>
  <c r="GF116" i="8"/>
  <c r="GE116" i="8"/>
  <c r="GD116" i="8"/>
  <c r="GR115" i="8"/>
  <c r="GQ115" i="8"/>
  <c r="GP115" i="8"/>
  <c r="GO115" i="8"/>
  <c r="GN115" i="8"/>
  <c r="GM115" i="8"/>
  <c r="GL115" i="8"/>
  <c r="GK115" i="8"/>
  <c r="GJ115" i="8"/>
  <c r="GI115" i="8"/>
  <c r="GH115" i="8"/>
  <c r="GG115" i="8"/>
  <c r="GF115" i="8"/>
  <c r="GE115" i="8"/>
  <c r="GD115" i="8"/>
  <c r="GR114" i="8"/>
  <c r="GQ114" i="8"/>
  <c r="GP114" i="8"/>
  <c r="GO114" i="8"/>
  <c r="GN114" i="8"/>
  <c r="GM114" i="8"/>
  <c r="GL114" i="8"/>
  <c r="GK114" i="8"/>
  <c r="GJ114" i="8"/>
  <c r="GI114" i="8"/>
  <c r="GH114" i="8"/>
  <c r="GG114" i="8"/>
  <c r="GF114" i="8"/>
  <c r="GE114" i="8"/>
  <c r="GD114" i="8"/>
  <c r="GR113" i="8"/>
  <c r="GQ113" i="8"/>
  <c r="GP113" i="8"/>
  <c r="GO113" i="8"/>
  <c r="GN113" i="8"/>
  <c r="GM113" i="8"/>
  <c r="GL113" i="8"/>
  <c r="GK113" i="8"/>
  <c r="GJ113" i="8"/>
  <c r="GI113" i="8"/>
  <c r="GH113" i="8"/>
  <c r="GG113" i="8"/>
  <c r="GF113" i="8"/>
  <c r="GE113" i="8"/>
  <c r="GD113" i="8"/>
  <c r="GR112" i="8"/>
  <c r="GQ112" i="8"/>
  <c r="GP112" i="8"/>
  <c r="GO112" i="8"/>
  <c r="GN112" i="8"/>
  <c r="GM112" i="8"/>
  <c r="GL112" i="8"/>
  <c r="GK112" i="8"/>
  <c r="GJ112" i="8"/>
  <c r="GI112" i="8"/>
  <c r="GH112" i="8"/>
  <c r="GG112" i="8"/>
  <c r="GF112" i="8"/>
  <c r="GE112" i="8"/>
  <c r="GD112" i="8"/>
  <c r="GR111" i="8"/>
  <c r="GQ111" i="8"/>
  <c r="GP111" i="8"/>
  <c r="GO111" i="8"/>
  <c r="GN111" i="8"/>
  <c r="GM111" i="8"/>
  <c r="GL111" i="8"/>
  <c r="GK111" i="8"/>
  <c r="GJ111" i="8"/>
  <c r="GI111" i="8"/>
  <c r="GH111" i="8"/>
  <c r="GG111" i="8"/>
  <c r="GF111" i="8"/>
  <c r="GE111" i="8"/>
  <c r="GD111" i="8"/>
  <c r="GR110" i="8"/>
  <c r="GQ110" i="8"/>
  <c r="GP110" i="8"/>
  <c r="GO110" i="8"/>
  <c r="GN110" i="8"/>
  <c r="GM110" i="8"/>
  <c r="GL110" i="8"/>
  <c r="GK110" i="8"/>
  <c r="GJ110" i="8"/>
  <c r="GI110" i="8"/>
  <c r="GH110" i="8"/>
  <c r="GG110" i="8"/>
  <c r="GF110" i="8"/>
  <c r="GE110" i="8"/>
  <c r="GD110" i="8"/>
  <c r="GR109" i="8"/>
  <c r="GQ109" i="8"/>
  <c r="GP109" i="8"/>
  <c r="GO109" i="8"/>
  <c r="GN109" i="8"/>
  <c r="GM109" i="8"/>
  <c r="GL109" i="8"/>
  <c r="GK109" i="8"/>
  <c r="GJ109" i="8"/>
  <c r="GI109" i="8"/>
  <c r="GH109" i="8"/>
  <c r="GG109" i="8"/>
  <c r="GF109" i="8"/>
  <c r="GE109" i="8"/>
  <c r="GD109" i="8"/>
  <c r="GR108" i="8"/>
  <c r="GQ108" i="8"/>
  <c r="GP108" i="8"/>
  <c r="GO108" i="8"/>
  <c r="GN108" i="8"/>
  <c r="GM108" i="8"/>
  <c r="GL108" i="8"/>
  <c r="GK108" i="8"/>
  <c r="GJ108" i="8"/>
  <c r="GI108" i="8"/>
  <c r="GH108" i="8"/>
  <c r="GG108" i="8"/>
  <c r="GF108" i="8"/>
  <c r="GE108" i="8"/>
  <c r="GD108" i="8"/>
  <c r="GR107" i="8"/>
  <c r="GQ107" i="8"/>
  <c r="GP107" i="8"/>
  <c r="GO107" i="8"/>
  <c r="GN107" i="8"/>
  <c r="GM107" i="8"/>
  <c r="GL107" i="8"/>
  <c r="GK107" i="8"/>
  <c r="GJ107" i="8"/>
  <c r="GI107" i="8"/>
  <c r="GH107" i="8"/>
  <c r="GG107" i="8"/>
  <c r="GF107" i="8"/>
  <c r="GE107" i="8"/>
  <c r="GD107" i="8"/>
  <c r="GR106" i="8"/>
  <c r="GQ106" i="8"/>
  <c r="GP106" i="8"/>
  <c r="GO106" i="8"/>
  <c r="GN106" i="8"/>
  <c r="GM106" i="8"/>
  <c r="GL106" i="8"/>
  <c r="GK106" i="8"/>
  <c r="GJ106" i="8"/>
  <c r="GI106" i="8"/>
  <c r="GH106" i="8"/>
  <c r="GG106" i="8"/>
  <c r="GF106" i="8"/>
  <c r="GE106" i="8"/>
  <c r="GD106" i="8"/>
  <c r="GR105" i="8"/>
  <c r="GQ105" i="8"/>
  <c r="GP105" i="8"/>
  <c r="GO105" i="8"/>
  <c r="GN105" i="8"/>
  <c r="GM105" i="8"/>
  <c r="GL105" i="8"/>
  <c r="GK105" i="8"/>
  <c r="GJ105" i="8"/>
  <c r="GI105" i="8"/>
  <c r="GH105" i="8"/>
  <c r="GG105" i="8"/>
  <c r="GF105" i="8"/>
  <c r="GE105" i="8"/>
  <c r="GD105" i="8"/>
  <c r="GR104" i="8"/>
  <c r="GQ104" i="8"/>
  <c r="GP104" i="8"/>
  <c r="GO104" i="8"/>
  <c r="GN104" i="8"/>
  <c r="GM104" i="8"/>
  <c r="GL104" i="8"/>
  <c r="GK104" i="8"/>
  <c r="GJ104" i="8"/>
  <c r="GI104" i="8"/>
  <c r="GH104" i="8"/>
  <c r="GG104" i="8"/>
  <c r="GF104" i="8"/>
  <c r="GE104" i="8"/>
  <c r="GD104" i="8"/>
  <c r="GR103" i="8"/>
  <c r="GQ103" i="8"/>
  <c r="GP103" i="8"/>
  <c r="GO103" i="8"/>
  <c r="GN103" i="8"/>
  <c r="GM103" i="8"/>
  <c r="GL103" i="8"/>
  <c r="GK103" i="8"/>
  <c r="GJ103" i="8"/>
  <c r="GI103" i="8"/>
  <c r="GH103" i="8"/>
  <c r="GG103" i="8"/>
  <c r="GF103" i="8"/>
  <c r="GE103" i="8"/>
  <c r="GD103" i="8"/>
  <c r="GR102" i="8"/>
  <c r="GQ102" i="8"/>
  <c r="GP102" i="8"/>
  <c r="GO102" i="8"/>
  <c r="GN102" i="8"/>
  <c r="GM102" i="8"/>
  <c r="GL102" i="8"/>
  <c r="GK102" i="8"/>
  <c r="GJ102" i="8"/>
  <c r="GI102" i="8"/>
  <c r="GH102" i="8"/>
  <c r="GG102" i="8"/>
  <c r="GF102" i="8"/>
  <c r="GE102" i="8"/>
  <c r="GD102" i="8"/>
  <c r="GR101" i="8"/>
  <c r="GQ101" i="8"/>
  <c r="GP101" i="8"/>
  <c r="GO101" i="8"/>
  <c r="GN101" i="8"/>
  <c r="GM101" i="8"/>
  <c r="GL101" i="8"/>
  <c r="GK101" i="8"/>
  <c r="GJ101" i="8"/>
  <c r="GI101" i="8"/>
  <c r="GH101" i="8"/>
  <c r="GG101" i="8"/>
  <c r="GF101" i="8"/>
  <c r="GE101" i="8"/>
  <c r="GD101" i="8"/>
  <c r="GR100" i="8"/>
  <c r="GQ100" i="8"/>
  <c r="GP100" i="8"/>
  <c r="GO100" i="8"/>
  <c r="GN100" i="8"/>
  <c r="GM100" i="8"/>
  <c r="GL100" i="8"/>
  <c r="GK100" i="8"/>
  <c r="GJ100" i="8"/>
  <c r="GI100" i="8"/>
  <c r="GH100" i="8"/>
  <c r="GG100" i="8"/>
  <c r="GF100" i="8"/>
  <c r="GE100" i="8"/>
  <c r="GD100" i="8"/>
  <c r="GR99" i="8"/>
  <c r="GQ99" i="8"/>
  <c r="GP99" i="8"/>
  <c r="GO99" i="8"/>
  <c r="GN99" i="8"/>
  <c r="GM99" i="8"/>
  <c r="GL99" i="8"/>
  <c r="GK99" i="8"/>
  <c r="GJ99" i="8"/>
  <c r="GI99" i="8"/>
  <c r="GH99" i="8"/>
  <c r="GG99" i="8"/>
  <c r="GF99" i="8"/>
  <c r="GE99" i="8"/>
  <c r="GD99" i="8"/>
  <c r="GR98" i="8"/>
  <c r="GQ98" i="8"/>
  <c r="GP98" i="8"/>
  <c r="GO98" i="8"/>
  <c r="GN98" i="8"/>
  <c r="GM98" i="8"/>
  <c r="GL98" i="8"/>
  <c r="GK98" i="8"/>
  <c r="GJ98" i="8"/>
  <c r="GI98" i="8"/>
  <c r="GH98" i="8"/>
  <c r="GG98" i="8"/>
  <c r="GF98" i="8"/>
  <c r="GE98" i="8"/>
  <c r="GD98" i="8"/>
  <c r="GR97" i="8"/>
  <c r="GQ97" i="8"/>
  <c r="GP97" i="8"/>
  <c r="GO97" i="8"/>
  <c r="GN97" i="8"/>
  <c r="GM97" i="8"/>
  <c r="GL97" i="8"/>
  <c r="GK97" i="8"/>
  <c r="GJ97" i="8"/>
  <c r="GI97" i="8"/>
  <c r="GH97" i="8"/>
  <c r="GG97" i="8"/>
  <c r="GF97" i="8"/>
  <c r="GE97" i="8"/>
  <c r="GD97" i="8"/>
  <c r="GR96" i="8"/>
  <c r="GQ96" i="8"/>
  <c r="GP96" i="8"/>
  <c r="GO96" i="8"/>
  <c r="GN96" i="8"/>
  <c r="GM96" i="8"/>
  <c r="GL96" i="8"/>
  <c r="GK96" i="8"/>
  <c r="GJ96" i="8"/>
  <c r="GI96" i="8"/>
  <c r="GH96" i="8"/>
  <c r="GG96" i="8"/>
  <c r="GF96" i="8"/>
  <c r="GE96" i="8"/>
  <c r="GD96" i="8"/>
  <c r="GR95" i="8"/>
  <c r="GQ95" i="8"/>
  <c r="GP95" i="8"/>
  <c r="GO95" i="8"/>
  <c r="GN95" i="8"/>
  <c r="GM95" i="8"/>
  <c r="GL95" i="8"/>
  <c r="GK95" i="8"/>
  <c r="GJ95" i="8"/>
  <c r="GI95" i="8"/>
  <c r="GH95" i="8"/>
  <c r="GG95" i="8"/>
  <c r="GF95" i="8"/>
  <c r="GE95" i="8"/>
  <c r="GD95" i="8"/>
  <c r="GR94" i="8"/>
  <c r="GQ94" i="8"/>
  <c r="GP94" i="8"/>
  <c r="GO94" i="8"/>
  <c r="GN94" i="8"/>
  <c r="GM94" i="8"/>
  <c r="GL94" i="8"/>
  <c r="GK94" i="8"/>
  <c r="GJ94" i="8"/>
  <c r="GI94" i="8"/>
  <c r="GH94" i="8"/>
  <c r="GG94" i="8"/>
  <c r="GF94" i="8"/>
  <c r="GE94" i="8"/>
  <c r="GD94" i="8"/>
  <c r="GR93" i="8"/>
  <c r="GQ93" i="8"/>
  <c r="GP93" i="8"/>
  <c r="GO93" i="8"/>
  <c r="GN93" i="8"/>
  <c r="GM93" i="8"/>
  <c r="GL93" i="8"/>
  <c r="GK93" i="8"/>
  <c r="GJ93" i="8"/>
  <c r="GI93" i="8"/>
  <c r="GH93" i="8"/>
  <c r="GG93" i="8"/>
  <c r="GF93" i="8"/>
  <c r="GE93" i="8"/>
  <c r="GD93" i="8"/>
  <c r="GR92" i="8"/>
  <c r="GQ92" i="8"/>
  <c r="GP92" i="8"/>
  <c r="GO92" i="8"/>
  <c r="GN92" i="8"/>
  <c r="GM92" i="8"/>
  <c r="GL92" i="8"/>
  <c r="GK92" i="8"/>
  <c r="GJ92" i="8"/>
  <c r="GI92" i="8"/>
  <c r="GH92" i="8"/>
  <c r="GG92" i="8"/>
  <c r="GF92" i="8"/>
  <c r="GE92" i="8"/>
  <c r="GD92" i="8"/>
  <c r="GR91" i="8"/>
  <c r="GQ91" i="8"/>
  <c r="GP91" i="8"/>
  <c r="GO91" i="8"/>
  <c r="GN91" i="8"/>
  <c r="GM91" i="8"/>
  <c r="GL91" i="8"/>
  <c r="GK91" i="8"/>
  <c r="GJ91" i="8"/>
  <c r="GI91" i="8"/>
  <c r="GH91" i="8"/>
  <c r="GG91" i="8"/>
  <c r="GF91" i="8"/>
  <c r="GE91" i="8"/>
  <c r="GD91" i="8"/>
  <c r="GR90" i="8"/>
  <c r="GQ90" i="8"/>
  <c r="GP90" i="8"/>
  <c r="GO90" i="8"/>
  <c r="GN90" i="8"/>
  <c r="GM90" i="8"/>
  <c r="GL90" i="8"/>
  <c r="GK90" i="8"/>
  <c r="GJ90" i="8"/>
  <c r="GI90" i="8"/>
  <c r="GH90" i="8"/>
  <c r="GG90" i="8"/>
  <c r="GF90" i="8"/>
  <c r="GE90" i="8"/>
  <c r="GD90" i="8"/>
  <c r="GR89" i="8"/>
  <c r="GQ89" i="8"/>
  <c r="GP89" i="8"/>
  <c r="GO89" i="8"/>
  <c r="GN89" i="8"/>
  <c r="GM89" i="8"/>
  <c r="GL89" i="8"/>
  <c r="GK89" i="8"/>
  <c r="GJ89" i="8"/>
  <c r="GI89" i="8"/>
  <c r="GH89" i="8"/>
  <c r="GG89" i="8"/>
  <c r="GF89" i="8"/>
  <c r="GE89" i="8"/>
  <c r="GD89" i="8"/>
  <c r="GR88" i="8"/>
  <c r="GQ88" i="8"/>
  <c r="GP88" i="8"/>
  <c r="GO88" i="8"/>
  <c r="GN88" i="8"/>
  <c r="GM88" i="8"/>
  <c r="GL88" i="8"/>
  <c r="GK88" i="8"/>
  <c r="GJ88" i="8"/>
  <c r="GI88" i="8"/>
  <c r="GH88" i="8"/>
  <c r="GG88" i="8"/>
  <c r="GF88" i="8"/>
  <c r="GE88" i="8"/>
  <c r="GD88" i="8"/>
  <c r="GR87" i="8"/>
  <c r="GQ87" i="8"/>
  <c r="GP87" i="8"/>
  <c r="GO87" i="8"/>
  <c r="GN87" i="8"/>
  <c r="GM87" i="8"/>
  <c r="GL87" i="8"/>
  <c r="GK87" i="8"/>
  <c r="GJ87" i="8"/>
  <c r="GI87" i="8"/>
  <c r="GH87" i="8"/>
  <c r="GG87" i="8"/>
  <c r="GF87" i="8"/>
  <c r="GE87" i="8"/>
  <c r="GD87" i="8"/>
  <c r="GR86" i="8"/>
  <c r="GQ86" i="8"/>
  <c r="GP86" i="8"/>
  <c r="GO86" i="8"/>
  <c r="GN86" i="8"/>
  <c r="GM86" i="8"/>
  <c r="GL86" i="8"/>
  <c r="GK86" i="8"/>
  <c r="GJ86" i="8"/>
  <c r="GI86" i="8"/>
  <c r="GH86" i="8"/>
  <c r="GG86" i="8"/>
  <c r="GF86" i="8"/>
  <c r="GE86" i="8"/>
  <c r="GD86" i="8"/>
  <c r="GR85" i="8"/>
  <c r="GQ85" i="8"/>
  <c r="GP85" i="8"/>
  <c r="GO85" i="8"/>
  <c r="GN85" i="8"/>
  <c r="GM85" i="8"/>
  <c r="GL85" i="8"/>
  <c r="GK85" i="8"/>
  <c r="GJ85" i="8"/>
  <c r="GI85" i="8"/>
  <c r="GH85" i="8"/>
  <c r="GG85" i="8"/>
  <c r="GF85" i="8"/>
  <c r="GE85" i="8"/>
  <c r="GD85" i="8"/>
  <c r="GR84" i="8"/>
  <c r="GQ84" i="8"/>
  <c r="GP84" i="8"/>
  <c r="GO84" i="8"/>
  <c r="GN84" i="8"/>
  <c r="GM84" i="8"/>
  <c r="GL84" i="8"/>
  <c r="GK84" i="8"/>
  <c r="GJ84" i="8"/>
  <c r="GI84" i="8"/>
  <c r="GH84" i="8"/>
  <c r="GG84" i="8"/>
  <c r="GF84" i="8"/>
  <c r="GE84" i="8"/>
  <c r="GD84" i="8"/>
  <c r="GR83" i="8"/>
  <c r="GQ83" i="8"/>
  <c r="GP83" i="8"/>
  <c r="GO83" i="8"/>
  <c r="GN83" i="8"/>
  <c r="GM83" i="8"/>
  <c r="GL83" i="8"/>
  <c r="GK83" i="8"/>
  <c r="GJ83" i="8"/>
  <c r="GI83" i="8"/>
  <c r="GH83" i="8"/>
  <c r="GG83" i="8"/>
  <c r="GF83" i="8"/>
  <c r="GE83" i="8"/>
  <c r="GD83" i="8"/>
  <c r="GR82" i="8"/>
  <c r="GQ82" i="8"/>
  <c r="GP82" i="8"/>
  <c r="GO82" i="8"/>
  <c r="GN82" i="8"/>
  <c r="GM82" i="8"/>
  <c r="GL82" i="8"/>
  <c r="GK82" i="8"/>
  <c r="GJ82" i="8"/>
  <c r="GI82" i="8"/>
  <c r="GH82" i="8"/>
  <c r="GG82" i="8"/>
  <c r="GF82" i="8"/>
  <c r="GE82" i="8"/>
  <c r="GD82" i="8"/>
  <c r="GR81" i="8"/>
  <c r="GQ81" i="8"/>
  <c r="GP81" i="8"/>
  <c r="GO81" i="8"/>
  <c r="GN81" i="8"/>
  <c r="GM81" i="8"/>
  <c r="GL81" i="8"/>
  <c r="GK81" i="8"/>
  <c r="GJ81" i="8"/>
  <c r="GI81" i="8"/>
  <c r="GH81" i="8"/>
  <c r="GG81" i="8"/>
  <c r="GF81" i="8"/>
  <c r="GE81" i="8"/>
  <c r="GD81" i="8"/>
  <c r="GR80" i="8"/>
  <c r="GQ80" i="8"/>
  <c r="GP80" i="8"/>
  <c r="GO80" i="8"/>
  <c r="GN80" i="8"/>
  <c r="GM80" i="8"/>
  <c r="GL80" i="8"/>
  <c r="GK80" i="8"/>
  <c r="GJ80" i="8"/>
  <c r="GI80" i="8"/>
  <c r="GH80" i="8"/>
  <c r="GG80" i="8"/>
  <c r="GF80" i="8"/>
  <c r="GE80" i="8"/>
  <c r="GD80" i="8"/>
  <c r="GR79" i="8"/>
  <c r="GQ79" i="8"/>
  <c r="GP79" i="8"/>
  <c r="GO79" i="8"/>
  <c r="GN79" i="8"/>
  <c r="GM79" i="8"/>
  <c r="GL79" i="8"/>
  <c r="GK79" i="8"/>
  <c r="GJ79" i="8"/>
  <c r="GI79" i="8"/>
  <c r="GH79" i="8"/>
  <c r="GG79" i="8"/>
  <c r="GF79" i="8"/>
  <c r="GE79" i="8"/>
  <c r="GD79" i="8"/>
  <c r="GR78" i="8"/>
  <c r="GQ78" i="8"/>
  <c r="GP78" i="8"/>
  <c r="GO78" i="8"/>
  <c r="GN78" i="8"/>
  <c r="GM78" i="8"/>
  <c r="GL78" i="8"/>
  <c r="GK78" i="8"/>
  <c r="GJ78" i="8"/>
  <c r="GI78" i="8"/>
  <c r="GH78" i="8"/>
  <c r="GG78" i="8"/>
  <c r="GF78" i="8"/>
  <c r="GE78" i="8"/>
  <c r="GD78" i="8"/>
  <c r="GR77" i="8"/>
  <c r="GQ77" i="8"/>
  <c r="GP77" i="8"/>
  <c r="GO77" i="8"/>
  <c r="GN77" i="8"/>
  <c r="GM77" i="8"/>
  <c r="GL77" i="8"/>
  <c r="GK77" i="8"/>
  <c r="GJ77" i="8"/>
  <c r="GI77" i="8"/>
  <c r="GH77" i="8"/>
  <c r="GG77" i="8"/>
  <c r="GF77" i="8"/>
  <c r="GE77" i="8"/>
  <c r="GD77" i="8"/>
  <c r="GR76" i="8"/>
  <c r="GQ76" i="8"/>
  <c r="GP76" i="8"/>
  <c r="GO76" i="8"/>
  <c r="GN76" i="8"/>
  <c r="GM76" i="8"/>
  <c r="GL76" i="8"/>
  <c r="GK76" i="8"/>
  <c r="GJ76" i="8"/>
  <c r="GI76" i="8"/>
  <c r="GH76" i="8"/>
  <c r="GG76" i="8"/>
  <c r="GF76" i="8"/>
  <c r="GE76" i="8"/>
  <c r="GD76" i="8"/>
  <c r="GR75" i="8"/>
  <c r="GQ75" i="8"/>
  <c r="GP75" i="8"/>
  <c r="GO75" i="8"/>
  <c r="GN75" i="8"/>
  <c r="GM75" i="8"/>
  <c r="GL75" i="8"/>
  <c r="GK75" i="8"/>
  <c r="GJ75" i="8"/>
  <c r="GI75" i="8"/>
  <c r="GH75" i="8"/>
  <c r="GG75" i="8"/>
  <c r="GF75" i="8"/>
  <c r="GE75" i="8"/>
  <c r="GD75" i="8"/>
  <c r="GR74" i="8"/>
  <c r="GQ74" i="8"/>
  <c r="GP74" i="8"/>
  <c r="GO74" i="8"/>
  <c r="GN74" i="8"/>
  <c r="GM74" i="8"/>
  <c r="GL74" i="8"/>
  <c r="GK74" i="8"/>
  <c r="GJ74" i="8"/>
  <c r="GI74" i="8"/>
  <c r="GH74" i="8"/>
  <c r="GG74" i="8"/>
  <c r="GF74" i="8"/>
  <c r="GE74" i="8"/>
  <c r="GD74" i="8"/>
  <c r="GR73" i="8"/>
  <c r="GQ73" i="8"/>
  <c r="GP73" i="8"/>
  <c r="GO73" i="8"/>
  <c r="GN73" i="8"/>
  <c r="GM73" i="8"/>
  <c r="GL73" i="8"/>
  <c r="GK73" i="8"/>
  <c r="GJ73" i="8"/>
  <c r="GI73" i="8"/>
  <c r="GH73" i="8"/>
  <c r="GG73" i="8"/>
  <c r="GF73" i="8"/>
  <c r="GE73" i="8"/>
  <c r="GD73" i="8"/>
  <c r="GR72" i="8"/>
  <c r="GQ72" i="8"/>
  <c r="GP72" i="8"/>
  <c r="GO72" i="8"/>
  <c r="GN72" i="8"/>
  <c r="GM72" i="8"/>
  <c r="GL72" i="8"/>
  <c r="GK72" i="8"/>
  <c r="GJ72" i="8"/>
  <c r="GI72" i="8"/>
  <c r="GH72" i="8"/>
  <c r="GG72" i="8"/>
  <c r="GF72" i="8"/>
  <c r="GE72" i="8"/>
  <c r="GD72" i="8"/>
  <c r="GR71" i="8"/>
  <c r="GQ71" i="8"/>
  <c r="GP71" i="8"/>
  <c r="GO71" i="8"/>
  <c r="GN71" i="8"/>
  <c r="GM71" i="8"/>
  <c r="GL71" i="8"/>
  <c r="GK71" i="8"/>
  <c r="GJ71" i="8"/>
  <c r="GI71" i="8"/>
  <c r="GH71" i="8"/>
  <c r="GG71" i="8"/>
  <c r="GF71" i="8"/>
  <c r="GE71" i="8"/>
  <c r="GD71" i="8"/>
  <c r="GR70" i="8"/>
  <c r="GQ70" i="8"/>
  <c r="GP70" i="8"/>
  <c r="GO70" i="8"/>
  <c r="GN70" i="8"/>
  <c r="GM70" i="8"/>
  <c r="GL70" i="8"/>
  <c r="GK70" i="8"/>
  <c r="GJ70" i="8"/>
  <c r="GI70" i="8"/>
  <c r="GH70" i="8"/>
  <c r="GG70" i="8"/>
  <c r="GF70" i="8"/>
  <c r="GE70" i="8"/>
  <c r="GD70" i="8"/>
  <c r="GR69" i="8"/>
  <c r="GQ69" i="8"/>
  <c r="GP69" i="8"/>
  <c r="GO69" i="8"/>
  <c r="GN69" i="8"/>
  <c r="GM69" i="8"/>
  <c r="GL69" i="8"/>
  <c r="GK69" i="8"/>
  <c r="GJ69" i="8"/>
  <c r="GI69" i="8"/>
  <c r="GH69" i="8"/>
  <c r="GG69" i="8"/>
  <c r="GF69" i="8"/>
  <c r="GE69" i="8"/>
  <c r="GD69" i="8"/>
  <c r="GR68" i="8"/>
  <c r="GQ68" i="8"/>
  <c r="GP68" i="8"/>
  <c r="GO68" i="8"/>
  <c r="GN68" i="8"/>
  <c r="GM68" i="8"/>
  <c r="GL68" i="8"/>
  <c r="GK68" i="8"/>
  <c r="GJ68" i="8"/>
  <c r="GI68" i="8"/>
  <c r="GH68" i="8"/>
  <c r="GG68" i="8"/>
  <c r="GF68" i="8"/>
  <c r="GE68" i="8"/>
  <c r="GD68" i="8"/>
  <c r="GR67" i="8"/>
  <c r="GQ67" i="8"/>
  <c r="GP67" i="8"/>
  <c r="GO67" i="8"/>
  <c r="GN67" i="8"/>
  <c r="GM67" i="8"/>
  <c r="GL67" i="8"/>
  <c r="GK67" i="8"/>
  <c r="GJ67" i="8"/>
  <c r="GI67" i="8"/>
  <c r="GH67" i="8"/>
  <c r="GG67" i="8"/>
  <c r="GF67" i="8"/>
  <c r="GE67" i="8"/>
  <c r="GD67" i="8"/>
  <c r="GR66" i="8"/>
  <c r="GQ66" i="8"/>
  <c r="GP66" i="8"/>
  <c r="GO66" i="8"/>
  <c r="GN66" i="8"/>
  <c r="GM66" i="8"/>
  <c r="GL66" i="8"/>
  <c r="GK66" i="8"/>
  <c r="GJ66" i="8"/>
  <c r="GI66" i="8"/>
  <c r="GH66" i="8"/>
  <c r="GG66" i="8"/>
  <c r="GF66" i="8"/>
  <c r="GE66" i="8"/>
  <c r="GD66" i="8"/>
  <c r="GR65" i="8"/>
  <c r="GQ65" i="8"/>
  <c r="GP65" i="8"/>
  <c r="GO65" i="8"/>
  <c r="GN65" i="8"/>
  <c r="GM65" i="8"/>
  <c r="GL65" i="8"/>
  <c r="GK65" i="8"/>
  <c r="GJ65" i="8"/>
  <c r="GI65" i="8"/>
  <c r="GH65" i="8"/>
  <c r="GG65" i="8"/>
  <c r="GF65" i="8"/>
  <c r="GE65" i="8"/>
  <c r="GD65" i="8"/>
  <c r="GR64" i="8"/>
  <c r="GQ64" i="8"/>
  <c r="GP64" i="8"/>
  <c r="GO64" i="8"/>
  <c r="GN64" i="8"/>
  <c r="GM64" i="8"/>
  <c r="GL64" i="8"/>
  <c r="GK64" i="8"/>
  <c r="GJ64" i="8"/>
  <c r="GI64" i="8"/>
  <c r="GH64" i="8"/>
  <c r="GG64" i="8"/>
  <c r="GF64" i="8"/>
  <c r="GE64" i="8"/>
  <c r="GD64" i="8"/>
  <c r="GR63" i="8"/>
  <c r="GQ63" i="8"/>
  <c r="GP63" i="8"/>
  <c r="GO63" i="8"/>
  <c r="GN63" i="8"/>
  <c r="GM63" i="8"/>
  <c r="GL63" i="8"/>
  <c r="GK63" i="8"/>
  <c r="GJ63" i="8"/>
  <c r="GI63" i="8"/>
  <c r="GH63" i="8"/>
  <c r="GG63" i="8"/>
  <c r="GF63" i="8"/>
  <c r="GE63" i="8"/>
  <c r="GD63" i="8"/>
  <c r="GR62" i="8"/>
  <c r="GQ62" i="8"/>
  <c r="GP62" i="8"/>
  <c r="GO62" i="8"/>
  <c r="GN62" i="8"/>
  <c r="GM62" i="8"/>
  <c r="GL62" i="8"/>
  <c r="GK62" i="8"/>
  <c r="GJ62" i="8"/>
  <c r="GI62" i="8"/>
  <c r="GH62" i="8"/>
  <c r="GG62" i="8"/>
  <c r="GF62" i="8"/>
  <c r="GE62" i="8"/>
  <c r="GD62" i="8"/>
  <c r="GR61" i="8"/>
  <c r="GQ61" i="8"/>
  <c r="GP61" i="8"/>
  <c r="GO61" i="8"/>
  <c r="GN61" i="8"/>
  <c r="GM61" i="8"/>
  <c r="GL61" i="8"/>
  <c r="GK61" i="8"/>
  <c r="GJ61" i="8"/>
  <c r="GI61" i="8"/>
  <c r="GH61" i="8"/>
  <c r="GG61" i="8"/>
  <c r="GF61" i="8"/>
  <c r="GE61" i="8"/>
  <c r="GD61" i="8"/>
  <c r="GR60" i="8"/>
  <c r="GQ60" i="8"/>
  <c r="GP60" i="8"/>
  <c r="GO60" i="8"/>
  <c r="GN60" i="8"/>
  <c r="GM60" i="8"/>
  <c r="GL60" i="8"/>
  <c r="GK60" i="8"/>
  <c r="GJ60" i="8"/>
  <c r="GI60" i="8"/>
  <c r="GH60" i="8"/>
  <c r="GG60" i="8"/>
  <c r="GF60" i="8"/>
  <c r="GE60" i="8"/>
  <c r="GD60" i="8"/>
  <c r="GR59" i="8"/>
  <c r="GQ59" i="8"/>
  <c r="GP59" i="8"/>
  <c r="GO59" i="8"/>
  <c r="GN59" i="8"/>
  <c r="GM59" i="8"/>
  <c r="GL59" i="8"/>
  <c r="GK59" i="8"/>
  <c r="GJ59" i="8"/>
  <c r="GI59" i="8"/>
  <c r="GH59" i="8"/>
  <c r="GG59" i="8"/>
  <c r="GF59" i="8"/>
  <c r="GE59" i="8"/>
  <c r="GD59" i="8"/>
  <c r="GR58" i="8"/>
  <c r="GQ58" i="8"/>
  <c r="GP58" i="8"/>
  <c r="GO58" i="8"/>
  <c r="GN58" i="8"/>
  <c r="GM58" i="8"/>
  <c r="GL58" i="8"/>
  <c r="GK58" i="8"/>
  <c r="GJ58" i="8"/>
  <c r="GI58" i="8"/>
  <c r="GH58" i="8"/>
  <c r="GG58" i="8"/>
  <c r="GF58" i="8"/>
  <c r="GE58" i="8"/>
  <c r="GD58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R56" i="8"/>
  <c r="GQ56" i="8"/>
  <c r="GP56" i="8"/>
  <c r="GO56" i="8"/>
  <c r="GN56" i="8"/>
  <c r="GM56" i="8"/>
  <c r="GL56" i="8"/>
  <c r="GK56" i="8"/>
  <c r="GJ56" i="8"/>
  <c r="GI56" i="8"/>
  <c r="GH56" i="8"/>
  <c r="GG56" i="8"/>
  <c r="GF56" i="8"/>
  <c r="GE56" i="8"/>
  <c r="GD56" i="8"/>
  <c r="GR55" i="8"/>
  <c r="GQ55" i="8"/>
  <c r="GP55" i="8"/>
  <c r="GO55" i="8"/>
  <c r="GN55" i="8"/>
  <c r="GM55" i="8"/>
  <c r="GL55" i="8"/>
  <c r="GK55" i="8"/>
  <c r="GJ55" i="8"/>
  <c r="GI55" i="8"/>
  <c r="GH55" i="8"/>
  <c r="GG55" i="8"/>
  <c r="GF55" i="8"/>
  <c r="GE55" i="8"/>
  <c r="GD55" i="8"/>
  <c r="GR54" i="8"/>
  <c r="GQ54" i="8"/>
  <c r="GP54" i="8"/>
  <c r="GO54" i="8"/>
  <c r="GN54" i="8"/>
  <c r="GM54" i="8"/>
  <c r="GL54" i="8"/>
  <c r="GK54" i="8"/>
  <c r="GJ54" i="8"/>
  <c r="GI54" i="8"/>
  <c r="GH54" i="8"/>
  <c r="GG54" i="8"/>
  <c r="GF54" i="8"/>
  <c r="GE54" i="8"/>
  <c r="GD54" i="8"/>
  <c r="GR53" i="8"/>
  <c r="GQ53" i="8"/>
  <c r="GP53" i="8"/>
  <c r="GO53" i="8"/>
  <c r="GN53" i="8"/>
  <c r="GM53" i="8"/>
  <c r="GL53" i="8"/>
  <c r="GK53" i="8"/>
  <c r="GJ53" i="8"/>
  <c r="GI53" i="8"/>
  <c r="GH53" i="8"/>
  <c r="GG53" i="8"/>
  <c r="GF53" i="8"/>
  <c r="GE53" i="8"/>
  <c r="GD53" i="8"/>
  <c r="GR52" i="8"/>
  <c r="GQ52" i="8"/>
  <c r="GP52" i="8"/>
  <c r="GO52" i="8"/>
  <c r="GN52" i="8"/>
  <c r="GM52" i="8"/>
  <c r="GL52" i="8"/>
  <c r="GK52" i="8"/>
  <c r="GJ52" i="8"/>
  <c r="GI52" i="8"/>
  <c r="GH52" i="8"/>
  <c r="GG52" i="8"/>
  <c r="GF52" i="8"/>
  <c r="GE52" i="8"/>
  <c r="GD52" i="8"/>
  <c r="GR51" i="8"/>
  <c r="GQ51" i="8"/>
  <c r="GP51" i="8"/>
  <c r="GO51" i="8"/>
  <c r="GN51" i="8"/>
  <c r="GM51" i="8"/>
  <c r="GL51" i="8"/>
  <c r="GK51" i="8"/>
  <c r="GJ51" i="8"/>
  <c r="GI51" i="8"/>
  <c r="GH51" i="8"/>
  <c r="GG51" i="8"/>
  <c r="GF51" i="8"/>
  <c r="GE51" i="8"/>
  <c r="GD51" i="8"/>
  <c r="GR50" i="8"/>
  <c r="GQ50" i="8"/>
  <c r="GP50" i="8"/>
  <c r="GO50" i="8"/>
  <c r="GN50" i="8"/>
  <c r="GM50" i="8"/>
  <c r="GL50" i="8"/>
  <c r="GK50" i="8"/>
  <c r="GJ50" i="8"/>
  <c r="GI50" i="8"/>
  <c r="GH50" i="8"/>
  <c r="GG50" i="8"/>
  <c r="GF50" i="8"/>
  <c r="GE50" i="8"/>
  <c r="GD50" i="8"/>
  <c r="GR49" i="8"/>
  <c r="GQ49" i="8"/>
  <c r="GP49" i="8"/>
  <c r="GO49" i="8"/>
  <c r="GN49" i="8"/>
  <c r="GM49" i="8"/>
  <c r="GL49" i="8"/>
  <c r="GK49" i="8"/>
  <c r="GJ49" i="8"/>
  <c r="GI49" i="8"/>
  <c r="GH49" i="8"/>
  <c r="GG49" i="8"/>
  <c r="GF49" i="8"/>
  <c r="GE49" i="8"/>
  <c r="GD49" i="8"/>
  <c r="GR48" i="8"/>
  <c r="GQ48" i="8"/>
  <c r="GP48" i="8"/>
  <c r="GO48" i="8"/>
  <c r="GN48" i="8"/>
  <c r="GM48" i="8"/>
  <c r="GL48" i="8"/>
  <c r="GK48" i="8"/>
  <c r="GJ48" i="8"/>
  <c r="GI48" i="8"/>
  <c r="GH48" i="8"/>
  <c r="GG48" i="8"/>
  <c r="GF48" i="8"/>
  <c r="GE48" i="8"/>
  <c r="GD48" i="8"/>
  <c r="GR47" i="8"/>
  <c r="GQ47" i="8"/>
  <c r="GP47" i="8"/>
  <c r="GO47" i="8"/>
  <c r="GN47" i="8"/>
  <c r="GM47" i="8"/>
  <c r="GL47" i="8"/>
  <c r="GK47" i="8"/>
  <c r="GJ47" i="8"/>
  <c r="GI47" i="8"/>
  <c r="GH47" i="8"/>
  <c r="GG47" i="8"/>
  <c r="GF47" i="8"/>
  <c r="GE47" i="8"/>
  <c r="GD47" i="8"/>
  <c r="GR46" i="8"/>
  <c r="GQ46" i="8"/>
  <c r="GP46" i="8"/>
  <c r="GO46" i="8"/>
  <c r="GN46" i="8"/>
  <c r="GM46" i="8"/>
  <c r="GL46" i="8"/>
  <c r="GK46" i="8"/>
  <c r="GJ46" i="8"/>
  <c r="GI46" i="8"/>
  <c r="GH46" i="8"/>
  <c r="GG46" i="8"/>
  <c r="GF46" i="8"/>
  <c r="GE46" i="8"/>
  <c r="GD46" i="8"/>
  <c r="GR45" i="8"/>
  <c r="GQ45" i="8"/>
  <c r="GP45" i="8"/>
  <c r="GO45" i="8"/>
  <c r="GN45" i="8"/>
  <c r="GM45" i="8"/>
  <c r="GL45" i="8"/>
  <c r="GK45" i="8"/>
  <c r="GJ45" i="8"/>
  <c r="GI45" i="8"/>
  <c r="GH45" i="8"/>
  <c r="GG45" i="8"/>
  <c r="GF45" i="8"/>
  <c r="GE45" i="8"/>
  <c r="GD45" i="8"/>
  <c r="GR44" i="8"/>
  <c r="GQ44" i="8"/>
  <c r="GP44" i="8"/>
  <c r="GO44" i="8"/>
  <c r="GN44" i="8"/>
  <c r="GM44" i="8"/>
  <c r="GL44" i="8"/>
  <c r="GK44" i="8"/>
  <c r="GJ44" i="8"/>
  <c r="GI44" i="8"/>
  <c r="GH44" i="8"/>
  <c r="GG44" i="8"/>
  <c r="GF44" i="8"/>
  <c r="GE44" i="8"/>
  <c r="GD44" i="8"/>
  <c r="GR43" i="8"/>
  <c r="GQ43" i="8"/>
  <c r="GP43" i="8"/>
  <c r="GO43" i="8"/>
  <c r="GN43" i="8"/>
  <c r="GM43" i="8"/>
  <c r="GL43" i="8"/>
  <c r="GK43" i="8"/>
  <c r="GJ43" i="8"/>
  <c r="GI43" i="8"/>
  <c r="GH43" i="8"/>
  <c r="GG43" i="8"/>
  <c r="GF43" i="8"/>
  <c r="GE43" i="8"/>
  <c r="GD43" i="8"/>
  <c r="GR42" i="8"/>
  <c r="GQ42" i="8"/>
  <c r="GP42" i="8"/>
  <c r="GO42" i="8"/>
  <c r="GN42" i="8"/>
  <c r="GM42" i="8"/>
  <c r="GL42" i="8"/>
  <c r="GK42" i="8"/>
  <c r="GJ42" i="8"/>
  <c r="GI42" i="8"/>
  <c r="GH42" i="8"/>
  <c r="GG42" i="8"/>
  <c r="GF42" i="8"/>
  <c r="GE42" i="8"/>
  <c r="GD42" i="8"/>
  <c r="GR41" i="8"/>
  <c r="GQ41" i="8"/>
  <c r="GP41" i="8"/>
  <c r="GO41" i="8"/>
  <c r="GN41" i="8"/>
  <c r="GM41" i="8"/>
  <c r="GL41" i="8"/>
  <c r="GK41" i="8"/>
  <c r="GJ41" i="8"/>
  <c r="GI41" i="8"/>
  <c r="GH41" i="8"/>
  <c r="GG41" i="8"/>
  <c r="GF41" i="8"/>
  <c r="GE41" i="8"/>
  <c r="GD41" i="8"/>
  <c r="GR40" i="8"/>
  <c r="GQ40" i="8"/>
  <c r="GP40" i="8"/>
  <c r="GO40" i="8"/>
  <c r="GN40" i="8"/>
  <c r="GM40" i="8"/>
  <c r="GL40" i="8"/>
  <c r="GK40" i="8"/>
  <c r="GJ40" i="8"/>
  <c r="GI40" i="8"/>
  <c r="GH40" i="8"/>
  <c r="GG40" i="8"/>
  <c r="GF40" i="8"/>
  <c r="GE40" i="8"/>
  <c r="GD40" i="8"/>
  <c r="GR39" i="8"/>
  <c r="GQ39" i="8"/>
  <c r="GP39" i="8"/>
  <c r="GO39" i="8"/>
  <c r="GN39" i="8"/>
  <c r="GM39" i="8"/>
  <c r="GL39" i="8"/>
  <c r="GK39" i="8"/>
  <c r="GJ39" i="8"/>
  <c r="GI39" i="8"/>
  <c r="GH39" i="8"/>
  <c r="GG39" i="8"/>
  <c r="GF39" i="8"/>
  <c r="GE39" i="8"/>
  <c r="GD39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R37" i="8"/>
  <c r="GQ37" i="8"/>
  <c r="GP37" i="8"/>
  <c r="GO37" i="8"/>
  <c r="GN37" i="8"/>
  <c r="GM37" i="8"/>
  <c r="GL37" i="8"/>
  <c r="GK37" i="8"/>
  <c r="GJ37" i="8"/>
  <c r="GI37" i="8"/>
  <c r="GH37" i="8"/>
  <c r="GG37" i="8"/>
  <c r="GF37" i="8"/>
  <c r="GE37" i="8"/>
  <c r="GD37" i="8"/>
  <c r="GR36" i="8"/>
  <c r="GQ36" i="8"/>
  <c r="GP36" i="8"/>
  <c r="GO36" i="8"/>
  <c r="GN36" i="8"/>
  <c r="GM36" i="8"/>
  <c r="GL36" i="8"/>
  <c r="GK36" i="8"/>
  <c r="GJ36" i="8"/>
  <c r="GI36" i="8"/>
  <c r="GH36" i="8"/>
  <c r="GG36" i="8"/>
  <c r="GF36" i="8"/>
  <c r="GE36" i="8"/>
  <c r="GD36" i="8"/>
  <c r="GR35" i="8"/>
  <c r="GQ35" i="8"/>
  <c r="GP35" i="8"/>
  <c r="GO35" i="8"/>
  <c r="GN35" i="8"/>
  <c r="GM35" i="8"/>
  <c r="GL35" i="8"/>
  <c r="GK35" i="8"/>
  <c r="GJ35" i="8"/>
  <c r="GI35" i="8"/>
  <c r="GH35" i="8"/>
  <c r="GG35" i="8"/>
  <c r="GF35" i="8"/>
  <c r="GE35" i="8"/>
  <c r="GD35" i="8"/>
  <c r="GR34" i="8"/>
  <c r="GQ34" i="8"/>
  <c r="GP34" i="8"/>
  <c r="GO34" i="8"/>
  <c r="GN34" i="8"/>
  <c r="GM34" i="8"/>
  <c r="GL34" i="8"/>
  <c r="GK34" i="8"/>
  <c r="GJ34" i="8"/>
  <c r="GI34" i="8"/>
  <c r="GH34" i="8"/>
  <c r="GG34" i="8"/>
  <c r="GF34" i="8"/>
  <c r="GE34" i="8"/>
  <c r="GD34" i="8"/>
  <c r="GR33" i="8"/>
  <c r="GQ33" i="8"/>
  <c r="GP33" i="8"/>
  <c r="GO33" i="8"/>
  <c r="GN33" i="8"/>
  <c r="GM33" i="8"/>
  <c r="GL33" i="8"/>
  <c r="GK33" i="8"/>
  <c r="GJ33" i="8"/>
  <c r="GI33" i="8"/>
  <c r="GH33" i="8"/>
  <c r="GG33" i="8"/>
  <c r="GF33" i="8"/>
  <c r="GE33" i="8"/>
  <c r="GD33" i="8"/>
  <c r="GR32" i="8"/>
  <c r="GQ32" i="8"/>
  <c r="GP32" i="8"/>
  <c r="GO32" i="8"/>
  <c r="GN32" i="8"/>
  <c r="GM32" i="8"/>
  <c r="GL32" i="8"/>
  <c r="GK32" i="8"/>
  <c r="GJ32" i="8"/>
  <c r="GI32" i="8"/>
  <c r="GH32" i="8"/>
  <c r="GG32" i="8"/>
  <c r="GF32" i="8"/>
  <c r="GE32" i="8"/>
  <c r="GD32" i="8"/>
  <c r="GR31" i="8"/>
  <c r="GQ31" i="8"/>
  <c r="GP31" i="8"/>
  <c r="GO31" i="8"/>
  <c r="GN31" i="8"/>
  <c r="GM31" i="8"/>
  <c r="GL31" i="8"/>
  <c r="GK31" i="8"/>
  <c r="GJ31" i="8"/>
  <c r="GI31" i="8"/>
  <c r="GH31" i="8"/>
  <c r="GG31" i="8"/>
  <c r="GF31" i="8"/>
  <c r="GE31" i="8"/>
  <c r="GD31" i="8"/>
  <c r="GR30" i="8"/>
  <c r="GQ30" i="8"/>
  <c r="GP30" i="8"/>
  <c r="GO30" i="8"/>
  <c r="GN30" i="8"/>
  <c r="GM30" i="8"/>
  <c r="GL30" i="8"/>
  <c r="GK30" i="8"/>
  <c r="GJ30" i="8"/>
  <c r="GI30" i="8"/>
  <c r="GH30" i="8"/>
  <c r="GG30" i="8"/>
  <c r="GF30" i="8"/>
  <c r="GE30" i="8"/>
  <c r="GD30" i="8"/>
  <c r="GR29" i="8"/>
  <c r="GQ29" i="8"/>
  <c r="GP29" i="8"/>
  <c r="GO29" i="8"/>
  <c r="GN29" i="8"/>
  <c r="GM29" i="8"/>
  <c r="GL29" i="8"/>
  <c r="GK29" i="8"/>
  <c r="GJ29" i="8"/>
  <c r="GI29" i="8"/>
  <c r="GH29" i="8"/>
  <c r="GG29" i="8"/>
  <c r="GF29" i="8"/>
  <c r="GE29" i="8"/>
  <c r="GD29" i="8"/>
  <c r="GR28" i="8"/>
  <c r="GQ28" i="8"/>
  <c r="GP28" i="8"/>
  <c r="GO28" i="8"/>
  <c r="GN28" i="8"/>
  <c r="GM28" i="8"/>
  <c r="GL28" i="8"/>
  <c r="GK28" i="8"/>
  <c r="GJ28" i="8"/>
  <c r="GI28" i="8"/>
  <c r="GH28" i="8"/>
  <c r="GG28" i="8"/>
  <c r="GF28" i="8"/>
  <c r="GE28" i="8"/>
  <c r="GD28" i="8"/>
  <c r="GR27" i="8"/>
  <c r="GQ27" i="8"/>
  <c r="GP27" i="8"/>
  <c r="GO27" i="8"/>
  <c r="GN27" i="8"/>
  <c r="GM27" i="8"/>
  <c r="GL27" i="8"/>
  <c r="GK27" i="8"/>
  <c r="GJ27" i="8"/>
  <c r="GI27" i="8"/>
  <c r="GH27" i="8"/>
  <c r="GG27" i="8"/>
  <c r="GF27" i="8"/>
  <c r="GE27" i="8"/>
  <c r="GD27" i="8"/>
  <c r="GR26" i="8"/>
  <c r="GQ26" i="8"/>
  <c r="GP26" i="8"/>
  <c r="GO26" i="8"/>
  <c r="GN26" i="8"/>
  <c r="GM26" i="8"/>
  <c r="GL26" i="8"/>
  <c r="GK26" i="8"/>
  <c r="GJ26" i="8"/>
  <c r="GI26" i="8"/>
  <c r="GH26" i="8"/>
  <c r="GG26" i="8"/>
  <c r="GF26" i="8"/>
  <c r="GE26" i="8"/>
  <c r="GD26" i="8"/>
  <c r="GR25" i="8"/>
  <c r="GQ25" i="8"/>
  <c r="GP25" i="8"/>
  <c r="GO25" i="8"/>
  <c r="GN25" i="8"/>
  <c r="GM25" i="8"/>
  <c r="GL25" i="8"/>
  <c r="GK25" i="8"/>
  <c r="GJ25" i="8"/>
  <c r="GI25" i="8"/>
  <c r="GH25" i="8"/>
  <c r="GG25" i="8"/>
  <c r="GF25" i="8"/>
  <c r="GE25" i="8"/>
  <c r="GD25" i="8"/>
  <c r="GR24" i="8"/>
  <c r="GQ24" i="8"/>
  <c r="GP24" i="8"/>
  <c r="GO24" i="8"/>
  <c r="GN24" i="8"/>
  <c r="GM24" i="8"/>
  <c r="GL24" i="8"/>
  <c r="GK24" i="8"/>
  <c r="GJ24" i="8"/>
  <c r="GI24" i="8"/>
  <c r="GH24" i="8"/>
  <c r="GG24" i="8"/>
  <c r="GF24" i="8"/>
  <c r="GE24" i="8"/>
  <c r="GD24" i="8"/>
  <c r="GR23" i="8"/>
  <c r="GQ23" i="8"/>
  <c r="GP23" i="8"/>
  <c r="GO23" i="8"/>
  <c r="GN23" i="8"/>
  <c r="GM23" i="8"/>
  <c r="GL23" i="8"/>
  <c r="GK23" i="8"/>
  <c r="GJ23" i="8"/>
  <c r="GI23" i="8"/>
  <c r="GH23" i="8"/>
  <c r="GG23" i="8"/>
  <c r="GF23" i="8"/>
  <c r="GE23" i="8"/>
  <c r="GD23" i="8"/>
  <c r="GR22" i="8"/>
  <c r="GQ22" i="8"/>
  <c r="GP22" i="8"/>
  <c r="GO22" i="8"/>
  <c r="GN22" i="8"/>
  <c r="GM22" i="8"/>
  <c r="GL22" i="8"/>
  <c r="GK22" i="8"/>
  <c r="GJ22" i="8"/>
  <c r="GI22" i="8"/>
  <c r="GH22" i="8"/>
  <c r="GG22" i="8"/>
  <c r="GF22" i="8"/>
  <c r="GE22" i="8"/>
  <c r="GD22" i="8"/>
  <c r="GR21" i="8"/>
  <c r="GQ21" i="8"/>
  <c r="GP21" i="8"/>
  <c r="GO21" i="8"/>
  <c r="GN21" i="8"/>
  <c r="GM21" i="8"/>
  <c r="GL21" i="8"/>
  <c r="GK21" i="8"/>
  <c r="GJ21" i="8"/>
  <c r="GI21" i="8"/>
  <c r="GH21" i="8"/>
  <c r="GG21" i="8"/>
  <c r="GF21" i="8"/>
  <c r="GE21" i="8"/>
  <c r="GD21" i="8"/>
  <c r="GR20" i="8"/>
  <c r="GQ20" i="8"/>
  <c r="GP20" i="8"/>
  <c r="GO20" i="8"/>
  <c r="GN20" i="8"/>
  <c r="GM20" i="8"/>
  <c r="GL20" i="8"/>
  <c r="GK20" i="8"/>
  <c r="GJ20" i="8"/>
  <c r="GI20" i="8"/>
  <c r="GH20" i="8"/>
  <c r="GG20" i="8"/>
  <c r="GF20" i="8"/>
  <c r="GE20" i="8"/>
  <c r="GD20" i="8"/>
  <c r="GR19" i="8"/>
  <c r="GQ19" i="8"/>
  <c r="GP19" i="8"/>
  <c r="GO19" i="8"/>
  <c r="GN19" i="8"/>
  <c r="GM19" i="8"/>
  <c r="GL19" i="8"/>
  <c r="GK19" i="8"/>
  <c r="GJ19" i="8"/>
  <c r="GI19" i="8"/>
  <c r="GH19" i="8"/>
  <c r="GG19" i="8"/>
  <c r="GF19" i="8"/>
  <c r="GE19" i="8"/>
  <c r="GD19" i="8"/>
  <c r="GR18" i="8"/>
  <c r="GQ18" i="8"/>
  <c r="GP18" i="8"/>
  <c r="GO18" i="8"/>
  <c r="GN18" i="8"/>
  <c r="GM18" i="8"/>
  <c r="GL18" i="8"/>
  <c r="GK18" i="8"/>
  <c r="GJ18" i="8"/>
  <c r="GI18" i="8"/>
  <c r="GH18" i="8"/>
  <c r="GG18" i="8"/>
  <c r="GF18" i="8"/>
  <c r="GE18" i="8"/>
  <c r="GD18" i="8"/>
  <c r="GR17" i="8"/>
  <c r="GQ17" i="8"/>
  <c r="GP17" i="8"/>
  <c r="GO17" i="8"/>
  <c r="GN17" i="8"/>
  <c r="GM17" i="8"/>
  <c r="GL17" i="8"/>
  <c r="GK17" i="8"/>
  <c r="GJ17" i="8"/>
  <c r="GI17" i="8"/>
  <c r="GH17" i="8"/>
  <c r="GG17" i="8"/>
  <c r="GF17" i="8"/>
  <c r="GE17" i="8"/>
  <c r="GD17" i="8"/>
  <c r="GR16" i="8"/>
  <c r="GQ16" i="8"/>
  <c r="GP16" i="8"/>
  <c r="GO16" i="8"/>
  <c r="GN16" i="8"/>
  <c r="GM16" i="8"/>
  <c r="GL16" i="8"/>
  <c r="GK16" i="8"/>
  <c r="GJ16" i="8"/>
  <c r="GI16" i="8"/>
  <c r="GH16" i="8"/>
  <c r="GG16" i="8"/>
  <c r="GF16" i="8"/>
  <c r="GE16" i="8"/>
  <c r="GD16" i="8"/>
  <c r="GR15" i="8"/>
  <c r="GQ15" i="8"/>
  <c r="GP15" i="8"/>
  <c r="GO15" i="8"/>
  <c r="GN15" i="8"/>
  <c r="GM15" i="8"/>
  <c r="GL15" i="8"/>
  <c r="GK15" i="8"/>
  <c r="GJ15" i="8"/>
  <c r="GI15" i="8"/>
  <c r="GH15" i="8"/>
  <c r="GG15" i="8"/>
  <c r="GF15" i="8"/>
  <c r="GE15" i="8"/>
  <c r="GD15" i="8"/>
  <c r="GR14" i="8"/>
  <c r="GQ14" i="8"/>
  <c r="GP14" i="8"/>
  <c r="GO14" i="8"/>
  <c r="GN14" i="8"/>
  <c r="GM14" i="8"/>
  <c r="GL14" i="8"/>
  <c r="GK14" i="8"/>
  <c r="GJ14" i="8"/>
  <c r="GI14" i="8"/>
  <c r="GH14" i="8"/>
  <c r="GG14" i="8"/>
  <c r="GF14" i="8"/>
  <c r="GE14" i="8"/>
  <c r="GD14" i="8"/>
  <c r="GR13" i="8"/>
  <c r="GQ13" i="8"/>
  <c r="GP13" i="8"/>
  <c r="GO13" i="8"/>
  <c r="GN13" i="8"/>
  <c r="GM13" i="8"/>
  <c r="GL13" i="8"/>
  <c r="GK13" i="8"/>
  <c r="GJ13" i="8"/>
  <c r="GI13" i="8"/>
  <c r="GH13" i="8"/>
  <c r="GG13" i="8"/>
  <c r="GF13" i="8"/>
  <c r="GE13" i="8"/>
  <c r="GD13" i="8"/>
  <c r="GR12" i="8"/>
  <c r="GQ12" i="8"/>
  <c r="GP12" i="8"/>
  <c r="GO12" i="8"/>
  <c r="GN12" i="8"/>
  <c r="GM12" i="8"/>
  <c r="GL12" i="8"/>
  <c r="GK12" i="8"/>
  <c r="GJ12" i="8"/>
  <c r="GI12" i="8"/>
  <c r="GH12" i="8"/>
  <c r="GG12" i="8"/>
  <c r="GF12" i="8"/>
  <c r="GE12" i="8"/>
  <c r="GD12" i="8"/>
  <c r="GR11" i="8"/>
  <c r="GQ11" i="8"/>
  <c r="GP11" i="8"/>
  <c r="GO11" i="8"/>
  <c r="GN11" i="8"/>
  <c r="GM11" i="8"/>
  <c r="GL11" i="8"/>
  <c r="GK11" i="8"/>
  <c r="GJ11" i="8"/>
  <c r="GI11" i="8"/>
  <c r="GH11" i="8"/>
  <c r="GG11" i="8"/>
  <c r="GF11" i="8"/>
  <c r="GE11" i="8"/>
  <c r="GD11" i="8"/>
  <c r="GR10" i="8"/>
  <c r="GQ10" i="8"/>
  <c r="GP10" i="8"/>
  <c r="GO10" i="8"/>
  <c r="GN10" i="8"/>
  <c r="GM10" i="8"/>
  <c r="GL10" i="8"/>
  <c r="GK10" i="8"/>
  <c r="GJ10" i="8"/>
  <c r="GI10" i="8"/>
  <c r="GH10" i="8"/>
  <c r="GG10" i="8"/>
  <c r="GF10" i="8"/>
  <c r="GE10" i="8"/>
  <c r="GD10" i="8"/>
  <c r="GR8" i="8"/>
  <c r="GQ8" i="8"/>
  <c r="GP8" i="8"/>
  <c r="GO8" i="8"/>
  <c r="GN8" i="8"/>
  <c r="GM8" i="8"/>
  <c r="GL8" i="8"/>
  <c r="GK8" i="8"/>
  <c r="GJ8" i="8"/>
  <c r="GI8" i="8"/>
  <c r="GH8" i="8"/>
  <c r="GG8" i="8"/>
  <c r="GF8" i="8"/>
  <c r="GE8" i="8"/>
  <c r="GD8" i="8"/>
  <c r="Q7" i="8"/>
  <c r="HE32" i="6"/>
  <c r="HF32" i="6" s="1"/>
  <c r="HE31" i="6"/>
  <c r="HF31" i="6" s="1"/>
  <c r="HE30" i="6"/>
  <c r="HF30" i="6" s="1"/>
  <c r="HE29" i="6"/>
  <c r="HF29" i="6" s="1"/>
  <c r="HE28" i="6"/>
  <c r="HF28" i="6" s="1"/>
  <c r="HE27" i="6"/>
  <c r="HF27" i="6" s="1"/>
  <c r="HE26" i="6"/>
  <c r="HF26" i="6" s="1"/>
  <c r="HE25" i="6"/>
  <c r="HF25" i="6" s="1"/>
  <c r="HE24" i="6"/>
  <c r="HF24" i="6" s="1"/>
  <c r="HE23" i="6"/>
  <c r="HF23" i="6" s="1"/>
  <c r="HE22" i="6"/>
  <c r="HF22" i="6" s="1"/>
  <c r="HE21" i="6"/>
  <c r="HF21" i="6" s="1"/>
  <c r="HE20" i="6"/>
  <c r="HF20" i="6" s="1"/>
  <c r="HE19" i="6"/>
  <c r="HF19" i="6" s="1"/>
  <c r="HE18" i="6"/>
  <c r="HF18" i="6" s="1"/>
  <c r="HE17" i="6"/>
  <c r="HF17" i="6" s="1"/>
  <c r="HE16" i="6"/>
  <c r="HF16" i="6" s="1"/>
  <c r="HE15" i="6"/>
  <c r="HF15" i="6" s="1"/>
  <c r="HE14" i="6"/>
  <c r="HF14" i="6" s="1"/>
  <c r="HE13" i="6"/>
  <c r="HF13" i="6" s="1"/>
  <c r="HE12" i="6"/>
  <c r="HF12" i="6" s="1"/>
  <c r="HE11" i="6"/>
  <c r="HF11" i="6" s="1"/>
  <c r="HE10" i="6"/>
  <c r="HF10" i="6" s="1"/>
  <c r="HE9" i="6"/>
  <c r="HF9" i="6" s="1"/>
  <c r="HE8" i="6"/>
  <c r="HF8" i="6" s="1"/>
  <c r="HE7" i="6"/>
  <c r="HF7" i="6" s="1"/>
  <c r="HE6" i="6"/>
  <c r="HF6" i="6" s="1"/>
  <c r="HE5" i="6"/>
  <c r="HF5" i="6" s="1"/>
  <c r="HE4" i="6"/>
  <c r="HF4" i="6" s="1"/>
  <c r="HE3" i="6"/>
  <c r="HF3" i="6" s="1"/>
  <c r="HE1" i="6"/>
  <c r="HC32" i="6"/>
  <c r="HD32" i="6" s="1"/>
  <c r="HC31" i="6"/>
  <c r="HD31" i="6" s="1"/>
  <c r="HC30" i="6"/>
  <c r="HD30" i="6" s="1"/>
  <c r="HC29" i="6"/>
  <c r="HD29" i="6" s="1"/>
  <c r="HC28" i="6"/>
  <c r="HD28" i="6" s="1"/>
  <c r="HC27" i="6"/>
  <c r="HD27" i="6" s="1"/>
  <c r="HC26" i="6"/>
  <c r="HD26" i="6" s="1"/>
  <c r="HC25" i="6"/>
  <c r="HD25" i="6" s="1"/>
  <c r="HC24" i="6"/>
  <c r="HD24" i="6" s="1"/>
  <c r="HC23" i="6"/>
  <c r="HD23" i="6" s="1"/>
  <c r="HC22" i="6"/>
  <c r="HD22" i="6" s="1"/>
  <c r="HC21" i="6"/>
  <c r="HD21" i="6" s="1"/>
  <c r="HC20" i="6"/>
  <c r="HD20" i="6" s="1"/>
  <c r="HC19" i="6"/>
  <c r="HD19" i="6" s="1"/>
  <c r="HC18" i="6"/>
  <c r="HD18" i="6" s="1"/>
  <c r="HC17" i="6"/>
  <c r="HD17" i="6" s="1"/>
  <c r="HC16" i="6"/>
  <c r="HD16" i="6" s="1"/>
  <c r="HC15" i="6"/>
  <c r="HD15" i="6" s="1"/>
  <c r="HC14" i="6"/>
  <c r="HD14" i="6" s="1"/>
  <c r="HC13" i="6"/>
  <c r="HD13" i="6" s="1"/>
  <c r="HC12" i="6"/>
  <c r="HD12" i="6" s="1"/>
  <c r="HC11" i="6"/>
  <c r="HD11" i="6" s="1"/>
  <c r="HC10" i="6"/>
  <c r="HD10" i="6" s="1"/>
  <c r="HC9" i="6"/>
  <c r="HD9" i="6" s="1"/>
  <c r="HC8" i="6"/>
  <c r="HD8" i="6" s="1"/>
  <c r="HC7" i="6"/>
  <c r="HD7" i="6" s="1"/>
  <c r="HC6" i="6"/>
  <c r="HD6" i="6" s="1"/>
  <c r="HC5" i="6"/>
  <c r="HD5" i="6" s="1"/>
  <c r="HC4" i="6"/>
  <c r="HD4" i="6" s="1"/>
  <c r="HC3" i="6"/>
  <c r="HD3" i="6" s="1"/>
  <c r="HC1" i="6"/>
  <c r="HA32" i="6"/>
  <c r="HB32" i="6" s="1"/>
  <c r="HA31" i="6"/>
  <c r="HB31" i="6" s="1"/>
  <c r="HA30" i="6"/>
  <c r="HB30" i="6" s="1"/>
  <c r="HA29" i="6"/>
  <c r="HB29" i="6" s="1"/>
  <c r="HA28" i="6"/>
  <c r="HB28" i="6" s="1"/>
  <c r="HA27" i="6"/>
  <c r="HB27" i="6" s="1"/>
  <c r="HA26" i="6"/>
  <c r="HB26" i="6" s="1"/>
  <c r="HA25" i="6"/>
  <c r="HB25" i="6" s="1"/>
  <c r="HA24" i="6"/>
  <c r="HB24" i="6" s="1"/>
  <c r="HA23" i="6"/>
  <c r="HB23" i="6" s="1"/>
  <c r="HA22" i="6"/>
  <c r="HB22" i="6" s="1"/>
  <c r="HA21" i="6"/>
  <c r="HB21" i="6" s="1"/>
  <c r="HA20" i="6"/>
  <c r="HB20" i="6" s="1"/>
  <c r="HA19" i="6"/>
  <c r="HB19" i="6" s="1"/>
  <c r="HA18" i="6"/>
  <c r="HB18" i="6" s="1"/>
  <c r="HA17" i="6"/>
  <c r="HB17" i="6" s="1"/>
  <c r="HA16" i="6"/>
  <c r="HB16" i="6" s="1"/>
  <c r="HA15" i="6"/>
  <c r="HB15" i="6" s="1"/>
  <c r="HA14" i="6"/>
  <c r="HB14" i="6" s="1"/>
  <c r="HA13" i="6"/>
  <c r="HB13" i="6" s="1"/>
  <c r="HA12" i="6"/>
  <c r="HB12" i="6" s="1"/>
  <c r="HA11" i="6"/>
  <c r="HB11" i="6" s="1"/>
  <c r="HA10" i="6"/>
  <c r="HB10" i="6" s="1"/>
  <c r="HA9" i="6"/>
  <c r="HB9" i="6" s="1"/>
  <c r="HA8" i="6"/>
  <c r="HB8" i="6" s="1"/>
  <c r="HA7" i="6"/>
  <c r="HB7" i="6" s="1"/>
  <c r="HA6" i="6"/>
  <c r="HB6" i="6" s="1"/>
  <c r="HA5" i="6"/>
  <c r="HB5" i="6" s="1"/>
  <c r="HA4" i="6"/>
  <c r="HB4" i="6" s="1"/>
  <c r="HA3" i="6"/>
  <c r="HB3" i="6" s="1"/>
  <c r="HA1" i="6"/>
  <c r="GY32" i="6"/>
  <c r="GZ32" i="6" s="1"/>
  <c r="GY31" i="6"/>
  <c r="GZ31" i="6" s="1"/>
  <c r="GY30" i="6"/>
  <c r="GZ30" i="6" s="1"/>
  <c r="GY29" i="6"/>
  <c r="GZ29" i="6" s="1"/>
  <c r="GY28" i="6"/>
  <c r="GZ28" i="6" s="1"/>
  <c r="GY27" i="6"/>
  <c r="GZ27" i="6" s="1"/>
  <c r="GY26" i="6"/>
  <c r="GZ26" i="6" s="1"/>
  <c r="GY25" i="6"/>
  <c r="GZ25" i="6" s="1"/>
  <c r="GY24" i="6"/>
  <c r="GZ24" i="6" s="1"/>
  <c r="GY23" i="6"/>
  <c r="GZ23" i="6" s="1"/>
  <c r="GY22" i="6"/>
  <c r="GZ22" i="6" s="1"/>
  <c r="GY21" i="6"/>
  <c r="GZ21" i="6" s="1"/>
  <c r="GY20" i="6"/>
  <c r="GZ20" i="6" s="1"/>
  <c r="GY19" i="6"/>
  <c r="GZ19" i="6" s="1"/>
  <c r="GY18" i="6"/>
  <c r="GZ18" i="6" s="1"/>
  <c r="GY17" i="6"/>
  <c r="GZ17" i="6" s="1"/>
  <c r="GY16" i="6"/>
  <c r="GZ16" i="6" s="1"/>
  <c r="GY15" i="6"/>
  <c r="GZ15" i="6" s="1"/>
  <c r="GY14" i="6"/>
  <c r="GZ14" i="6" s="1"/>
  <c r="GY13" i="6"/>
  <c r="GZ13" i="6" s="1"/>
  <c r="GY12" i="6"/>
  <c r="GZ12" i="6" s="1"/>
  <c r="GY11" i="6"/>
  <c r="GZ11" i="6" s="1"/>
  <c r="GY10" i="6"/>
  <c r="GZ10" i="6" s="1"/>
  <c r="GY9" i="6"/>
  <c r="GZ9" i="6" s="1"/>
  <c r="GY8" i="6"/>
  <c r="GZ8" i="6" s="1"/>
  <c r="GY7" i="6"/>
  <c r="GZ7" i="6" s="1"/>
  <c r="GY6" i="6"/>
  <c r="GZ6" i="6" s="1"/>
  <c r="GY5" i="6"/>
  <c r="GZ5" i="6" s="1"/>
  <c r="GY4" i="6"/>
  <c r="GZ4" i="6" s="1"/>
  <c r="GY3" i="6"/>
  <c r="GZ3" i="6" s="1"/>
  <c r="GY1" i="6"/>
  <c r="GW32" i="6"/>
  <c r="GX32" i="6" s="1"/>
  <c r="GW31" i="6"/>
  <c r="GX31" i="6" s="1"/>
  <c r="GW30" i="6"/>
  <c r="GX30" i="6" s="1"/>
  <c r="GW29" i="6"/>
  <c r="GX29" i="6" s="1"/>
  <c r="GW28" i="6"/>
  <c r="GX28" i="6" s="1"/>
  <c r="GW27" i="6"/>
  <c r="GX27" i="6" s="1"/>
  <c r="GW26" i="6"/>
  <c r="GX26" i="6" s="1"/>
  <c r="GW25" i="6"/>
  <c r="GX25" i="6" s="1"/>
  <c r="GW24" i="6"/>
  <c r="GX24" i="6" s="1"/>
  <c r="GW23" i="6"/>
  <c r="GX23" i="6" s="1"/>
  <c r="GW22" i="6"/>
  <c r="GX22" i="6" s="1"/>
  <c r="GW21" i="6"/>
  <c r="GX21" i="6" s="1"/>
  <c r="GW20" i="6"/>
  <c r="GX20" i="6" s="1"/>
  <c r="GW19" i="6"/>
  <c r="GX19" i="6" s="1"/>
  <c r="GW18" i="6"/>
  <c r="GX18" i="6" s="1"/>
  <c r="GW17" i="6"/>
  <c r="GX17" i="6" s="1"/>
  <c r="GW16" i="6"/>
  <c r="GX16" i="6" s="1"/>
  <c r="GW15" i="6"/>
  <c r="GX15" i="6" s="1"/>
  <c r="GW14" i="6"/>
  <c r="GX14" i="6" s="1"/>
  <c r="GW13" i="6"/>
  <c r="GX13" i="6" s="1"/>
  <c r="GW12" i="6"/>
  <c r="GX12" i="6" s="1"/>
  <c r="GW11" i="6"/>
  <c r="GX11" i="6" s="1"/>
  <c r="GW10" i="6"/>
  <c r="GX10" i="6" s="1"/>
  <c r="GW9" i="6"/>
  <c r="GX9" i="6" s="1"/>
  <c r="GW8" i="6"/>
  <c r="GX8" i="6" s="1"/>
  <c r="GW7" i="6"/>
  <c r="GX7" i="6" s="1"/>
  <c r="GW6" i="6"/>
  <c r="GX6" i="6" s="1"/>
  <c r="GW5" i="6"/>
  <c r="GX5" i="6" s="1"/>
  <c r="GW4" i="6"/>
  <c r="GX4" i="6" s="1"/>
  <c r="GW3" i="6"/>
  <c r="GX3" i="6" s="1"/>
  <c r="GW1" i="6"/>
  <c r="GU32" i="6"/>
  <c r="GV32" i="6" s="1"/>
  <c r="GU31" i="6"/>
  <c r="GV31" i="6" s="1"/>
  <c r="GU30" i="6"/>
  <c r="GV30" i="6" s="1"/>
  <c r="GU29" i="6"/>
  <c r="GV29" i="6" s="1"/>
  <c r="GU28" i="6"/>
  <c r="GV28" i="6" s="1"/>
  <c r="GU27" i="6"/>
  <c r="GV27" i="6" s="1"/>
  <c r="GU26" i="6"/>
  <c r="GV26" i="6" s="1"/>
  <c r="GU25" i="6"/>
  <c r="GV25" i="6" s="1"/>
  <c r="GU24" i="6"/>
  <c r="GV24" i="6" s="1"/>
  <c r="GU23" i="6"/>
  <c r="GV23" i="6" s="1"/>
  <c r="GU22" i="6"/>
  <c r="GV22" i="6" s="1"/>
  <c r="GU21" i="6"/>
  <c r="GV21" i="6" s="1"/>
  <c r="GU20" i="6"/>
  <c r="GV20" i="6" s="1"/>
  <c r="GU19" i="6"/>
  <c r="GV19" i="6" s="1"/>
  <c r="GU18" i="6"/>
  <c r="GV18" i="6" s="1"/>
  <c r="GU17" i="6"/>
  <c r="GV17" i="6" s="1"/>
  <c r="GU16" i="6"/>
  <c r="GV16" i="6" s="1"/>
  <c r="GU15" i="6"/>
  <c r="GV15" i="6" s="1"/>
  <c r="GU14" i="6"/>
  <c r="GV14" i="6" s="1"/>
  <c r="GU13" i="6"/>
  <c r="GV13" i="6" s="1"/>
  <c r="GU12" i="6"/>
  <c r="GV12" i="6" s="1"/>
  <c r="GU11" i="6"/>
  <c r="GV11" i="6" s="1"/>
  <c r="GU10" i="6"/>
  <c r="GV10" i="6" s="1"/>
  <c r="GU9" i="6"/>
  <c r="GV9" i="6" s="1"/>
  <c r="GU8" i="6"/>
  <c r="GV8" i="6" s="1"/>
  <c r="GU7" i="6"/>
  <c r="GV7" i="6" s="1"/>
  <c r="GU6" i="6"/>
  <c r="GV6" i="6" s="1"/>
  <c r="GU5" i="6"/>
  <c r="GV5" i="6" s="1"/>
  <c r="GU4" i="6"/>
  <c r="GV4" i="6" s="1"/>
  <c r="GU3" i="6"/>
  <c r="GV3" i="6" s="1"/>
  <c r="GU1" i="6"/>
  <c r="GS32" i="6"/>
  <c r="GT32" i="6" s="1"/>
  <c r="GS31" i="6"/>
  <c r="GT31" i="6" s="1"/>
  <c r="GS30" i="6"/>
  <c r="GT30" i="6" s="1"/>
  <c r="GS29" i="6"/>
  <c r="GT29" i="6" s="1"/>
  <c r="GS28" i="6"/>
  <c r="GT28" i="6" s="1"/>
  <c r="GS27" i="6"/>
  <c r="GT27" i="6" s="1"/>
  <c r="GS26" i="6"/>
  <c r="GT26" i="6" s="1"/>
  <c r="GS25" i="6"/>
  <c r="GT25" i="6" s="1"/>
  <c r="GS24" i="6"/>
  <c r="GT24" i="6" s="1"/>
  <c r="GS23" i="6"/>
  <c r="GT23" i="6" s="1"/>
  <c r="GS22" i="6"/>
  <c r="GT22" i="6" s="1"/>
  <c r="GS21" i="6"/>
  <c r="GT21" i="6" s="1"/>
  <c r="GS20" i="6"/>
  <c r="GT20" i="6" s="1"/>
  <c r="GS19" i="6"/>
  <c r="GT19" i="6" s="1"/>
  <c r="GS18" i="6"/>
  <c r="GT18" i="6" s="1"/>
  <c r="GS17" i="6"/>
  <c r="GT17" i="6" s="1"/>
  <c r="GS16" i="6"/>
  <c r="GT16" i="6" s="1"/>
  <c r="GS15" i="6"/>
  <c r="GT15" i="6" s="1"/>
  <c r="GS14" i="6"/>
  <c r="GT14" i="6" s="1"/>
  <c r="GS13" i="6"/>
  <c r="GT13" i="6" s="1"/>
  <c r="GS12" i="6"/>
  <c r="GT12" i="6" s="1"/>
  <c r="GS11" i="6"/>
  <c r="GT11" i="6" s="1"/>
  <c r="GS10" i="6"/>
  <c r="GT10" i="6" s="1"/>
  <c r="GS9" i="6"/>
  <c r="GT9" i="6" s="1"/>
  <c r="GS8" i="6"/>
  <c r="GT8" i="6" s="1"/>
  <c r="GS7" i="6"/>
  <c r="GT7" i="6" s="1"/>
  <c r="GS6" i="6"/>
  <c r="GT6" i="6" s="1"/>
  <c r="GS5" i="6"/>
  <c r="GT5" i="6" s="1"/>
  <c r="GS4" i="6"/>
  <c r="GT4" i="6" s="1"/>
  <c r="GS3" i="6"/>
  <c r="GT3" i="6" s="1"/>
  <c r="GS1" i="6"/>
  <c r="GQ32" i="6"/>
  <c r="GR32" i="6" s="1"/>
  <c r="GQ31" i="6"/>
  <c r="GR31" i="6" s="1"/>
  <c r="GQ30" i="6"/>
  <c r="GR30" i="6" s="1"/>
  <c r="GQ29" i="6"/>
  <c r="GR29" i="6" s="1"/>
  <c r="GQ28" i="6"/>
  <c r="GR28" i="6" s="1"/>
  <c r="GQ27" i="6"/>
  <c r="GR27" i="6" s="1"/>
  <c r="GQ26" i="6"/>
  <c r="GR26" i="6" s="1"/>
  <c r="GQ25" i="6"/>
  <c r="GR25" i="6" s="1"/>
  <c r="GQ24" i="6"/>
  <c r="GR24" i="6" s="1"/>
  <c r="GQ23" i="6"/>
  <c r="GR23" i="6" s="1"/>
  <c r="GQ22" i="6"/>
  <c r="GR22" i="6" s="1"/>
  <c r="GQ21" i="6"/>
  <c r="GR21" i="6" s="1"/>
  <c r="GQ20" i="6"/>
  <c r="GR20" i="6" s="1"/>
  <c r="GQ19" i="6"/>
  <c r="GR19" i="6" s="1"/>
  <c r="GQ18" i="6"/>
  <c r="GR18" i="6" s="1"/>
  <c r="GQ17" i="6"/>
  <c r="GR17" i="6" s="1"/>
  <c r="GQ16" i="6"/>
  <c r="GR16" i="6" s="1"/>
  <c r="GQ15" i="6"/>
  <c r="GR15" i="6" s="1"/>
  <c r="GQ14" i="6"/>
  <c r="GR14" i="6" s="1"/>
  <c r="GQ13" i="6"/>
  <c r="GR13" i="6" s="1"/>
  <c r="GQ12" i="6"/>
  <c r="GR12" i="6" s="1"/>
  <c r="GQ11" i="6"/>
  <c r="GR11" i="6" s="1"/>
  <c r="GQ10" i="6"/>
  <c r="GR10" i="6" s="1"/>
  <c r="GQ9" i="6"/>
  <c r="GR9" i="6" s="1"/>
  <c r="GQ8" i="6"/>
  <c r="GR8" i="6" s="1"/>
  <c r="GQ7" i="6"/>
  <c r="GR7" i="6" s="1"/>
  <c r="GQ6" i="6"/>
  <c r="GR6" i="6" s="1"/>
  <c r="GQ5" i="6"/>
  <c r="GR5" i="6" s="1"/>
  <c r="GQ4" i="6"/>
  <c r="GR4" i="6" s="1"/>
  <c r="GQ3" i="6"/>
  <c r="GR3" i="6" s="1"/>
  <c r="GQ1" i="6"/>
  <c r="GO32" i="6"/>
  <c r="GP32" i="6" s="1"/>
  <c r="GO31" i="6"/>
  <c r="GP31" i="6" s="1"/>
  <c r="GO30" i="6"/>
  <c r="GP30" i="6" s="1"/>
  <c r="GO29" i="6"/>
  <c r="GP29" i="6" s="1"/>
  <c r="GO28" i="6"/>
  <c r="GP28" i="6" s="1"/>
  <c r="GO27" i="6"/>
  <c r="GP27" i="6" s="1"/>
  <c r="GO26" i="6"/>
  <c r="GP26" i="6" s="1"/>
  <c r="GO25" i="6"/>
  <c r="GP25" i="6" s="1"/>
  <c r="GO24" i="6"/>
  <c r="GP24" i="6" s="1"/>
  <c r="GO23" i="6"/>
  <c r="GP23" i="6" s="1"/>
  <c r="GO22" i="6"/>
  <c r="GP22" i="6" s="1"/>
  <c r="GO21" i="6"/>
  <c r="GP21" i="6" s="1"/>
  <c r="GO20" i="6"/>
  <c r="GP20" i="6" s="1"/>
  <c r="GO19" i="6"/>
  <c r="GP19" i="6" s="1"/>
  <c r="GO18" i="6"/>
  <c r="GP18" i="6" s="1"/>
  <c r="GO17" i="6"/>
  <c r="GP17" i="6" s="1"/>
  <c r="GO16" i="6"/>
  <c r="GP16" i="6" s="1"/>
  <c r="GO15" i="6"/>
  <c r="GP15" i="6" s="1"/>
  <c r="GO14" i="6"/>
  <c r="GP14" i="6" s="1"/>
  <c r="GO13" i="6"/>
  <c r="GP13" i="6" s="1"/>
  <c r="GO12" i="6"/>
  <c r="GP12" i="6" s="1"/>
  <c r="GO11" i="6"/>
  <c r="GP11" i="6" s="1"/>
  <c r="GO10" i="6"/>
  <c r="GP10" i="6" s="1"/>
  <c r="GO9" i="6"/>
  <c r="GP9" i="6" s="1"/>
  <c r="GO8" i="6"/>
  <c r="GP8" i="6" s="1"/>
  <c r="GO7" i="6"/>
  <c r="GP7" i="6" s="1"/>
  <c r="GO6" i="6"/>
  <c r="GP6" i="6" s="1"/>
  <c r="GO5" i="6"/>
  <c r="GP5" i="6" s="1"/>
  <c r="GO4" i="6"/>
  <c r="GP4" i="6" s="1"/>
  <c r="GO3" i="6"/>
  <c r="GP3" i="6" s="1"/>
  <c r="GO1" i="6"/>
  <c r="GM32" i="6"/>
  <c r="GN32" i="6" s="1"/>
  <c r="GM31" i="6"/>
  <c r="GN31" i="6" s="1"/>
  <c r="GM30" i="6"/>
  <c r="GN30" i="6" s="1"/>
  <c r="GM29" i="6"/>
  <c r="GN29" i="6" s="1"/>
  <c r="GM28" i="6"/>
  <c r="GN28" i="6" s="1"/>
  <c r="GM27" i="6"/>
  <c r="GN27" i="6" s="1"/>
  <c r="GM26" i="6"/>
  <c r="GN26" i="6" s="1"/>
  <c r="GM25" i="6"/>
  <c r="GN25" i="6" s="1"/>
  <c r="GM24" i="6"/>
  <c r="GN24" i="6" s="1"/>
  <c r="GM23" i="6"/>
  <c r="GN23" i="6" s="1"/>
  <c r="GM22" i="6"/>
  <c r="GN22" i="6" s="1"/>
  <c r="GM21" i="6"/>
  <c r="GN21" i="6" s="1"/>
  <c r="GM20" i="6"/>
  <c r="GN20" i="6" s="1"/>
  <c r="GM19" i="6"/>
  <c r="GN19" i="6" s="1"/>
  <c r="GM18" i="6"/>
  <c r="GN18" i="6" s="1"/>
  <c r="GM17" i="6"/>
  <c r="GN17" i="6" s="1"/>
  <c r="GM16" i="6"/>
  <c r="GN16" i="6" s="1"/>
  <c r="GM15" i="6"/>
  <c r="GN15" i="6" s="1"/>
  <c r="GM14" i="6"/>
  <c r="GN14" i="6" s="1"/>
  <c r="GM13" i="6"/>
  <c r="GN13" i="6" s="1"/>
  <c r="GM12" i="6"/>
  <c r="GN12" i="6" s="1"/>
  <c r="GM11" i="6"/>
  <c r="GN11" i="6" s="1"/>
  <c r="GM10" i="6"/>
  <c r="GN10" i="6" s="1"/>
  <c r="GM9" i="6"/>
  <c r="GN9" i="6" s="1"/>
  <c r="GM8" i="6"/>
  <c r="GN8" i="6" s="1"/>
  <c r="GM7" i="6"/>
  <c r="GN7" i="6" s="1"/>
  <c r="GM6" i="6"/>
  <c r="GN6" i="6" s="1"/>
  <c r="GM5" i="6"/>
  <c r="GN5" i="6" s="1"/>
  <c r="GM4" i="6"/>
  <c r="GN4" i="6" s="1"/>
  <c r="GM3" i="6"/>
  <c r="GN3" i="6" s="1"/>
  <c r="GM1" i="6"/>
  <c r="GK32" i="6"/>
  <c r="GL32" i="6" s="1"/>
  <c r="GK31" i="6"/>
  <c r="GL31" i="6" s="1"/>
  <c r="GK30" i="6"/>
  <c r="GL30" i="6" s="1"/>
  <c r="GK29" i="6"/>
  <c r="GL29" i="6" s="1"/>
  <c r="GK28" i="6"/>
  <c r="GL28" i="6" s="1"/>
  <c r="GK27" i="6"/>
  <c r="GL27" i="6" s="1"/>
  <c r="GK26" i="6"/>
  <c r="GL26" i="6" s="1"/>
  <c r="GK25" i="6"/>
  <c r="GL25" i="6" s="1"/>
  <c r="GK24" i="6"/>
  <c r="GL24" i="6" s="1"/>
  <c r="GK23" i="6"/>
  <c r="GL23" i="6" s="1"/>
  <c r="GK22" i="6"/>
  <c r="GL22" i="6" s="1"/>
  <c r="GK21" i="6"/>
  <c r="GL21" i="6" s="1"/>
  <c r="GK20" i="6"/>
  <c r="GL20" i="6" s="1"/>
  <c r="GK19" i="6"/>
  <c r="GL19" i="6" s="1"/>
  <c r="GK18" i="6"/>
  <c r="GL18" i="6" s="1"/>
  <c r="GK17" i="6"/>
  <c r="GL17" i="6" s="1"/>
  <c r="GK16" i="6"/>
  <c r="GL16" i="6" s="1"/>
  <c r="GK15" i="6"/>
  <c r="GL15" i="6" s="1"/>
  <c r="GK14" i="6"/>
  <c r="GL14" i="6" s="1"/>
  <c r="GK13" i="6"/>
  <c r="GL13" i="6" s="1"/>
  <c r="GK12" i="6"/>
  <c r="GL12" i="6" s="1"/>
  <c r="GK11" i="6"/>
  <c r="GL11" i="6" s="1"/>
  <c r="GK10" i="6"/>
  <c r="GL10" i="6" s="1"/>
  <c r="GK9" i="6"/>
  <c r="GL9" i="6" s="1"/>
  <c r="GK8" i="6"/>
  <c r="GL8" i="6" s="1"/>
  <c r="GK7" i="6"/>
  <c r="GL7" i="6" s="1"/>
  <c r="GK6" i="6"/>
  <c r="GL6" i="6" s="1"/>
  <c r="GK5" i="6"/>
  <c r="GL5" i="6" s="1"/>
  <c r="GK4" i="6"/>
  <c r="GL4" i="6" s="1"/>
  <c r="GK3" i="6"/>
  <c r="GL3" i="6" s="1"/>
  <c r="GK1" i="6"/>
  <c r="GI32" i="6"/>
  <c r="GJ32" i="6" s="1"/>
  <c r="GI31" i="6"/>
  <c r="GJ31" i="6" s="1"/>
  <c r="GI30" i="6"/>
  <c r="GJ30" i="6" s="1"/>
  <c r="GI29" i="6"/>
  <c r="GJ29" i="6" s="1"/>
  <c r="GI28" i="6"/>
  <c r="GJ28" i="6" s="1"/>
  <c r="GI27" i="6"/>
  <c r="GJ27" i="6" s="1"/>
  <c r="GI26" i="6"/>
  <c r="GJ26" i="6" s="1"/>
  <c r="GI25" i="6"/>
  <c r="GJ25" i="6" s="1"/>
  <c r="GI24" i="6"/>
  <c r="GJ24" i="6" s="1"/>
  <c r="GI23" i="6"/>
  <c r="GJ23" i="6" s="1"/>
  <c r="GI22" i="6"/>
  <c r="GJ22" i="6" s="1"/>
  <c r="GI21" i="6"/>
  <c r="GJ21" i="6" s="1"/>
  <c r="GI20" i="6"/>
  <c r="GJ20" i="6" s="1"/>
  <c r="GI19" i="6"/>
  <c r="GJ19" i="6" s="1"/>
  <c r="GI18" i="6"/>
  <c r="GJ18" i="6" s="1"/>
  <c r="GI17" i="6"/>
  <c r="GJ17" i="6" s="1"/>
  <c r="GI16" i="6"/>
  <c r="GJ16" i="6" s="1"/>
  <c r="GI15" i="6"/>
  <c r="GJ15" i="6" s="1"/>
  <c r="GI14" i="6"/>
  <c r="GJ14" i="6" s="1"/>
  <c r="GI13" i="6"/>
  <c r="GJ13" i="6" s="1"/>
  <c r="GI12" i="6"/>
  <c r="GJ12" i="6" s="1"/>
  <c r="GI11" i="6"/>
  <c r="GJ11" i="6" s="1"/>
  <c r="GI10" i="6"/>
  <c r="GJ10" i="6" s="1"/>
  <c r="GI9" i="6"/>
  <c r="GJ9" i="6" s="1"/>
  <c r="GI8" i="6"/>
  <c r="GJ8" i="6" s="1"/>
  <c r="GI7" i="6"/>
  <c r="GJ7" i="6" s="1"/>
  <c r="GI6" i="6"/>
  <c r="GJ6" i="6" s="1"/>
  <c r="GI5" i="6"/>
  <c r="GJ5" i="6" s="1"/>
  <c r="GI4" i="6"/>
  <c r="GJ4" i="6" s="1"/>
  <c r="GI3" i="6"/>
  <c r="GJ3" i="6" s="1"/>
  <c r="GI1" i="6"/>
  <c r="GG32" i="6"/>
  <c r="GH32" i="6" s="1"/>
  <c r="GG31" i="6"/>
  <c r="GH31" i="6" s="1"/>
  <c r="GG30" i="6"/>
  <c r="GH30" i="6" s="1"/>
  <c r="GG29" i="6"/>
  <c r="GH29" i="6" s="1"/>
  <c r="GG28" i="6"/>
  <c r="GH28" i="6" s="1"/>
  <c r="GG27" i="6"/>
  <c r="GH27" i="6" s="1"/>
  <c r="GG26" i="6"/>
  <c r="GH26" i="6" s="1"/>
  <c r="GG25" i="6"/>
  <c r="GH25" i="6" s="1"/>
  <c r="GG24" i="6"/>
  <c r="GH24" i="6" s="1"/>
  <c r="GG23" i="6"/>
  <c r="GH23" i="6" s="1"/>
  <c r="GG22" i="6"/>
  <c r="GH22" i="6" s="1"/>
  <c r="GG21" i="6"/>
  <c r="GH21" i="6" s="1"/>
  <c r="GG20" i="6"/>
  <c r="GH20" i="6" s="1"/>
  <c r="GG19" i="6"/>
  <c r="GH19" i="6" s="1"/>
  <c r="GG18" i="6"/>
  <c r="GH18" i="6" s="1"/>
  <c r="GG17" i="6"/>
  <c r="GH17" i="6" s="1"/>
  <c r="GG16" i="6"/>
  <c r="GH16" i="6" s="1"/>
  <c r="GG15" i="6"/>
  <c r="GH15" i="6" s="1"/>
  <c r="GG14" i="6"/>
  <c r="GH14" i="6" s="1"/>
  <c r="GG13" i="6"/>
  <c r="GH13" i="6" s="1"/>
  <c r="GG12" i="6"/>
  <c r="GH12" i="6" s="1"/>
  <c r="GG11" i="6"/>
  <c r="GH11" i="6" s="1"/>
  <c r="GG10" i="6"/>
  <c r="GH10" i="6" s="1"/>
  <c r="GG9" i="6"/>
  <c r="GH9" i="6" s="1"/>
  <c r="GG8" i="6"/>
  <c r="GH8" i="6" s="1"/>
  <c r="GG7" i="6"/>
  <c r="GH7" i="6" s="1"/>
  <c r="GG6" i="6"/>
  <c r="GH6" i="6" s="1"/>
  <c r="GG5" i="6"/>
  <c r="GH5" i="6" s="1"/>
  <c r="GG4" i="6"/>
  <c r="GH4" i="6" s="1"/>
  <c r="GG3" i="6"/>
  <c r="GH3" i="6" s="1"/>
  <c r="GG1" i="6"/>
  <c r="GE32" i="6"/>
  <c r="GF32" i="6" s="1"/>
  <c r="GE31" i="6"/>
  <c r="GF31" i="6" s="1"/>
  <c r="GE30" i="6"/>
  <c r="GF30" i="6" s="1"/>
  <c r="GE29" i="6"/>
  <c r="GF29" i="6" s="1"/>
  <c r="GE28" i="6"/>
  <c r="GF28" i="6" s="1"/>
  <c r="GE27" i="6"/>
  <c r="GF27" i="6" s="1"/>
  <c r="GE26" i="6"/>
  <c r="GF26" i="6" s="1"/>
  <c r="GE25" i="6"/>
  <c r="GF25" i="6" s="1"/>
  <c r="GE24" i="6"/>
  <c r="GF24" i="6" s="1"/>
  <c r="GE23" i="6"/>
  <c r="GF23" i="6" s="1"/>
  <c r="GE22" i="6"/>
  <c r="GF22" i="6" s="1"/>
  <c r="GE21" i="6"/>
  <c r="GF21" i="6" s="1"/>
  <c r="GE20" i="6"/>
  <c r="GF20" i="6" s="1"/>
  <c r="GE19" i="6"/>
  <c r="GF19" i="6" s="1"/>
  <c r="GE18" i="6"/>
  <c r="GF18" i="6" s="1"/>
  <c r="GE17" i="6"/>
  <c r="GF17" i="6" s="1"/>
  <c r="GE16" i="6"/>
  <c r="GF16" i="6" s="1"/>
  <c r="GE15" i="6"/>
  <c r="GF15" i="6" s="1"/>
  <c r="GE14" i="6"/>
  <c r="GF14" i="6" s="1"/>
  <c r="GE13" i="6"/>
  <c r="GF13" i="6" s="1"/>
  <c r="GE12" i="6"/>
  <c r="GF12" i="6" s="1"/>
  <c r="GE11" i="6"/>
  <c r="GF11" i="6" s="1"/>
  <c r="GE10" i="6"/>
  <c r="GF10" i="6" s="1"/>
  <c r="GE9" i="6"/>
  <c r="GF9" i="6" s="1"/>
  <c r="GE8" i="6"/>
  <c r="GF8" i="6" s="1"/>
  <c r="GE7" i="6"/>
  <c r="GF7" i="6" s="1"/>
  <c r="GE6" i="6"/>
  <c r="GF6" i="6" s="1"/>
  <c r="GE5" i="6"/>
  <c r="GF5" i="6" s="1"/>
  <c r="GE4" i="6"/>
  <c r="GF4" i="6" s="1"/>
  <c r="GE3" i="6"/>
  <c r="GF3" i="6" s="1"/>
  <c r="GE1" i="6"/>
  <c r="GC32" i="6"/>
  <c r="GD32" i="6" s="1"/>
  <c r="GC31" i="6"/>
  <c r="GD31" i="6" s="1"/>
  <c r="GC30" i="6"/>
  <c r="GD30" i="6" s="1"/>
  <c r="GC29" i="6"/>
  <c r="GD29" i="6" s="1"/>
  <c r="GC28" i="6"/>
  <c r="GD28" i="6" s="1"/>
  <c r="GC27" i="6"/>
  <c r="GD27" i="6" s="1"/>
  <c r="GC26" i="6"/>
  <c r="GD26" i="6" s="1"/>
  <c r="GC25" i="6"/>
  <c r="GD25" i="6" s="1"/>
  <c r="GC24" i="6"/>
  <c r="GD24" i="6" s="1"/>
  <c r="GC23" i="6"/>
  <c r="GD23" i="6" s="1"/>
  <c r="GC22" i="6"/>
  <c r="GD22" i="6" s="1"/>
  <c r="GC21" i="6"/>
  <c r="GD21" i="6" s="1"/>
  <c r="GC20" i="6"/>
  <c r="GD20" i="6" s="1"/>
  <c r="GC19" i="6"/>
  <c r="GD19" i="6" s="1"/>
  <c r="GC18" i="6"/>
  <c r="GD18" i="6" s="1"/>
  <c r="GC17" i="6"/>
  <c r="GD17" i="6" s="1"/>
  <c r="GC16" i="6"/>
  <c r="GD16" i="6" s="1"/>
  <c r="GC15" i="6"/>
  <c r="GD15" i="6" s="1"/>
  <c r="GC14" i="6"/>
  <c r="GD14" i="6" s="1"/>
  <c r="GC13" i="6"/>
  <c r="GD13" i="6" s="1"/>
  <c r="GC12" i="6"/>
  <c r="GD12" i="6" s="1"/>
  <c r="GC11" i="6"/>
  <c r="GD11" i="6" s="1"/>
  <c r="GC10" i="6"/>
  <c r="GD10" i="6" s="1"/>
  <c r="GC9" i="6"/>
  <c r="GD9" i="6" s="1"/>
  <c r="GC8" i="6"/>
  <c r="GD8" i="6" s="1"/>
  <c r="GC7" i="6"/>
  <c r="GD7" i="6" s="1"/>
  <c r="GC6" i="6"/>
  <c r="GD6" i="6" s="1"/>
  <c r="GC5" i="6"/>
  <c r="GD5" i="6" s="1"/>
  <c r="GC4" i="6"/>
  <c r="GD4" i="6" s="1"/>
  <c r="GC3" i="6"/>
  <c r="GD3" i="6" s="1"/>
  <c r="GC1" i="6"/>
  <c r="GB32" i="6"/>
  <c r="GB31" i="6"/>
  <c r="GB30" i="6"/>
  <c r="GB29" i="6"/>
  <c r="GB28" i="6"/>
  <c r="GB27" i="6"/>
  <c r="GB26" i="6"/>
  <c r="GB25" i="6"/>
  <c r="GB24" i="6"/>
  <c r="GB23" i="6"/>
  <c r="GB22" i="6"/>
  <c r="GB21" i="6"/>
  <c r="GB20" i="6"/>
  <c r="GB19" i="6"/>
  <c r="GB18" i="6"/>
  <c r="GB17" i="6"/>
  <c r="GB16" i="6"/>
  <c r="GB15" i="6"/>
  <c r="GB14" i="6"/>
  <c r="GB13" i="6"/>
  <c r="GB12" i="6"/>
  <c r="GB11" i="6"/>
  <c r="GB10" i="6"/>
  <c r="GB9" i="6"/>
  <c r="GB8" i="6"/>
  <c r="GB7" i="6"/>
  <c r="GB6" i="6"/>
  <c r="GB5" i="6"/>
  <c r="GB4" i="6"/>
  <c r="GB3" i="6"/>
  <c r="GB1" i="6"/>
  <c r="FY33" i="6"/>
  <c r="FZ9" i="8" s="1"/>
  <c r="FX33" i="6"/>
  <c r="FT9" i="8" s="1"/>
  <c r="FW33" i="6"/>
  <c r="FN9" i="8" s="1"/>
  <c r="FV33" i="6"/>
  <c r="FB9" i="8" s="1"/>
  <c r="FU33" i="6"/>
  <c r="EP9" i="8" s="1"/>
  <c r="FT33" i="6"/>
  <c r="ED9" i="8" s="1"/>
  <c r="FS33" i="6"/>
  <c r="DN9" i="8" s="1"/>
  <c r="FR33" i="6"/>
  <c r="CX9" i="8" s="1"/>
  <c r="FQ33" i="6"/>
  <c r="CH9" i="8" s="1"/>
  <c r="FP32" i="6"/>
  <c r="FP31" i="6"/>
  <c r="FP30" i="6"/>
  <c r="FP29" i="6"/>
  <c r="FP28" i="6"/>
  <c r="FP27" i="6"/>
  <c r="FP26" i="6"/>
  <c r="FP25" i="6"/>
  <c r="FP24" i="6"/>
  <c r="FP23" i="6"/>
  <c r="FP22" i="6"/>
  <c r="FP21" i="6"/>
  <c r="FP20" i="6"/>
  <c r="FP19" i="6"/>
  <c r="FP18" i="6"/>
  <c r="FP17" i="6"/>
  <c r="FP16" i="6"/>
  <c r="FP15" i="6"/>
  <c r="FP14" i="6"/>
  <c r="FP13" i="6"/>
  <c r="FP12" i="6"/>
  <c r="FP11" i="6"/>
  <c r="FP10" i="6"/>
  <c r="FP9" i="6"/>
  <c r="FP8" i="6"/>
  <c r="FP7" i="6"/>
  <c r="FP6" i="6"/>
  <c r="FP5" i="6"/>
  <c r="FP4" i="6"/>
  <c r="FP3" i="6"/>
  <c r="FP2" i="6"/>
  <c r="FQ1" i="6"/>
  <c r="FP1" i="6"/>
  <c r="FO33" i="6"/>
  <c r="FY9" i="8" s="1"/>
  <c r="FN33" i="6"/>
  <c r="FS9" i="8" s="1"/>
  <c r="FM33" i="6"/>
  <c r="FM9" i="8" s="1"/>
  <c r="FL33" i="6"/>
  <c r="FA9" i="8" s="1"/>
  <c r="FK33" i="6"/>
  <c r="EO9" i="8" s="1"/>
  <c r="FJ33" i="6"/>
  <c r="EC9" i="8" s="1"/>
  <c r="FI33" i="6"/>
  <c r="DM9" i="8" s="1"/>
  <c r="FH33" i="6"/>
  <c r="CW9" i="8" s="1"/>
  <c r="FG33" i="6"/>
  <c r="CG9" i="8" s="1"/>
  <c r="FF32" i="6"/>
  <c r="FF31" i="6"/>
  <c r="FF30" i="6"/>
  <c r="FF29" i="6"/>
  <c r="FF28" i="6"/>
  <c r="FF27" i="6"/>
  <c r="FF26" i="6"/>
  <c r="FF25" i="6"/>
  <c r="FF24" i="6"/>
  <c r="FF23" i="6"/>
  <c r="FF22" i="6"/>
  <c r="FF21" i="6"/>
  <c r="FF20" i="6"/>
  <c r="FF19" i="6"/>
  <c r="FF18" i="6"/>
  <c r="FF17" i="6"/>
  <c r="FF16" i="6"/>
  <c r="FF15" i="6"/>
  <c r="FF14" i="6"/>
  <c r="FF13" i="6"/>
  <c r="FF12" i="6"/>
  <c r="FF11" i="6"/>
  <c r="FF10" i="6"/>
  <c r="FF9" i="6"/>
  <c r="FF8" i="6"/>
  <c r="FF7" i="6"/>
  <c r="FF6" i="6"/>
  <c r="FF5" i="6"/>
  <c r="FF4" i="6"/>
  <c r="FF3" i="6"/>
  <c r="FF2" i="6"/>
  <c r="FG1" i="6"/>
  <c r="FF1" i="6"/>
  <c r="FE33" i="6"/>
  <c r="FX9" i="8" s="1"/>
  <c r="FD33" i="6"/>
  <c r="FR9" i="8" s="1"/>
  <c r="FC33" i="6"/>
  <c r="FL9" i="8" s="1"/>
  <c r="FB33" i="6"/>
  <c r="EZ9" i="8" s="1"/>
  <c r="FA33" i="6"/>
  <c r="EN9" i="8" s="1"/>
  <c r="EZ33" i="6"/>
  <c r="EB9" i="8" s="1"/>
  <c r="EY33" i="6"/>
  <c r="DL9" i="8" s="1"/>
  <c r="EX33" i="6"/>
  <c r="CV9" i="8" s="1"/>
  <c r="EW33" i="6"/>
  <c r="CF9" i="8" s="1"/>
  <c r="EV32" i="6"/>
  <c r="EV31" i="6"/>
  <c r="EV30" i="6"/>
  <c r="EV29" i="6"/>
  <c r="EV28" i="6"/>
  <c r="EV27" i="6"/>
  <c r="EV26" i="6"/>
  <c r="EV25" i="6"/>
  <c r="EV24" i="6"/>
  <c r="EV23" i="6"/>
  <c r="EV22" i="6"/>
  <c r="EV21" i="6"/>
  <c r="EV20" i="6"/>
  <c r="EV19" i="6"/>
  <c r="EV18" i="6"/>
  <c r="EV17" i="6"/>
  <c r="EV16" i="6"/>
  <c r="EV15" i="6"/>
  <c r="EV14" i="6"/>
  <c r="EV13" i="6"/>
  <c r="EV12" i="6"/>
  <c r="EV11" i="6"/>
  <c r="EV10" i="6"/>
  <c r="EV9" i="6"/>
  <c r="EV8" i="6"/>
  <c r="EV7" i="6"/>
  <c r="EV6" i="6"/>
  <c r="EV5" i="6"/>
  <c r="EV4" i="6"/>
  <c r="EV3" i="6"/>
  <c r="EV2" i="6"/>
  <c r="EW1" i="6"/>
  <c r="EV1" i="6"/>
  <c r="EU33" i="6"/>
  <c r="FW9" i="8" s="1"/>
  <c r="ET33" i="6"/>
  <c r="FQ9" i="8" s="1"/>
  <c r="ES33" i="6"/>
  <c r="FK9" i="8" s="1"/>
  <c r="ER33" i="6"/>
  <c r="EY9" i="8" s="1"/>
  <c r="EQ33" i="6"/>
  <c r="EM9" i="8" s="1"/>
  <c r="EP33" i="6"/>
  <c r="EA9" i="8" s="1"/>
  <c r="EO33" i="6"/>
  <c r="DK9" i="8" s="1"/>
  <c r="EN33" i="6"/>
  <c r="CU9" i="8" s="1"/>
  <c r="EM33" i="6"/>
  <c r="CE9" i="8" s="1"/>
  <c r="EL32" i="6"/>
  <c r="EL31" i="6"/>
  <c r="EL30" i="6"/>
  <c r="EL29" i="6"/>
  <c r="EL28" i="6"/>
  <c r="EL27" i="6"/>
  <c r="EL26" i="6"/>
  <c r="EL25" i="6"/>
  <c r="EL24" i="6"/>
  <c r="EL23" i="6"/>
  <c r="EL22" i="6"/>
  <c r="EL21" i="6"/>
  <c r="EL20" i="6"/>
  <c r="EL19" i="6"/>
  <c r="EL18" i="6"/>
  <c r="EL17" i="6"/>
  <c r="EL16" i="6"/>
  <c r="EL15" i="6"/>
  <c r="EL14" i="6"/>
  <c r="EL13" i="6"/>
  <c r="EL12" i="6"/>
  <c r="EL11" i="6"/>
  <c r="EL10" i="6"/>
  <c r="EL9" i="6"/>
  <c r="EL8" i="6"/>
  <c r="EL7" i="6"/>
  <c r="EL6" i="6"/>
  <c r="EL5" i="6"/>
  <c r="EL4" i="6"/>
  <c r="EL3" i="6"/>
  <c r="EL2" i="6"/>
  <c r="EM1" i="6"/>
  <c r="EL1" i="6"/>
  <c r="EK33" i="6"/>
  <c r="FV9" i="8" s="1"/>
  <c r="EJ33" i="6"/>
  <c r="FP9" i="8" s="1"/>
  <c r="EI33" i="6"/>
  <c r="FJ9" i="8" s="1"/>
  <c r="EH33" i="6"/>
  <c r="EX9" i="8" s="1"/>
  <c r="EG33" i="6"/>
  <c r="EL9" i="8" s="1"/>
  <c r="EF33" i="6"/>
  <c r="DZ9" i="8" s="1"/>
  <c r="EE33" i="6"/>
  <c r="DJ9" i="8" s="1"/>
  <c r="ED33" i="6"/>
  <c r="CT9" i="8" s="1"/>
  <c r="EC33" i="6"/>
  <c r="CD9" i="8" s="1"/>
  <c r="EB32" i="6"/>
  <c r="EB31" i="6"/>
  <c r="EB30" i="6"/>
  <c r="EB29" i="6"/>
  <c r="EB28" i="6"/>
  <c r="EB27" i="6"/>
  <c r="EB26" i="6"/>
  <c r="EB25" i="6"/>
  <c r="EB24" i="6"/>
  <c r="EB23" i="6"/>
  <c r="EB22" i="6"/>
  <c r="EB21" i="6"/>
  <c r="EB20" i="6"/>
  <c r="EB19" i="6"/>
  <c r="EB18" i="6"/>
  <c r="EB17" i="6"/>
  <c r="EB16" i="6"/>
  <c r="EB15" i="6"/>
  <c r="EB14" i="6"/>
  <c r="EB13" i="6"/>
  <c r="EB12" i="6"/>
  <c r="EB11" i="6"/>
  <c r="EB10" i="6"/>
  <c r="EB9" i="6"/>
  <c r="EB8" i="6"/>
  <c r="EB7" i="6"/>
  <c r="EB6" i="6"/>
  <c r="EB5" i="6"/>
  <c r="EB4" i="6"/>
  <c r="EB3" i="6"/>
  <c r="EB2" i="6"/>
  <c r="EC1" i="6"/>
  <c r="EB1" i="6"/>
  <c r="EA33" i="6"/>
  <c r="FI9" i="8" s="1"/>
  <c r="DZ33" i="6"/>
  <c r="EW9" i="8" s="1"/>
  <c r="DY33" i="6"/>
  <c r="EK9" i="8" s="1"/>
  <c r="DX33" i="6"/>
  <c r="DY9" i="8" s="1"/>
  <c r="DW33" i="6"/>
  <c r="DI9" i="8" s="1"/>
  <c r="DV33" i="6"/>
  <c r="CS9" i="8" s="1"/>
  <c r="DU33" i="6"/>
  <c r="CC9" i="8" s="1"/>
  <c r="DT33" i="6"/>
  <c r="BR9" i="8" s="1"/>
  <c r="DS33" i="6"/>
  <c r="BG9" i="8" s="1"/>
  <c r="DR33" i="6"/>
  <c r="AV9" i="8" s="1"/>
  <c r="DQ33" i="6"/>
  <c r="AK9" i="8" s="1"/>
  <c r="DP33" i="6"/>
  <c r="Z9" i="8" s="1"/>
  <c r="DO33" i="6"/>
  <c r="O9" i="8" s="1"/>
  <c r="DN32" i="6"/>
  <c r="DN31" i="6"/>
  <c r="DN30" i="6"/>
  <c r="DN29" i="6"/>
  <c r="DN28" i="6"/>
  <c r="DN27" i="6"/>
  <c r="DN26" i="6"/>
  <c r="DN25" i="6"/>
  <c r="DN24" i="6"/>
  <c r="DN23" i="6"/>
  <c r="DN22" i="6"/>
  <c r="DN21" i="6"/>
  <c r="DN20" i="6"/>
  <c r="DN19" i="6"/>
  <c r="DN18" i="6"/>
  <c r="DN17" i="6"/>
  <c r="DN16" i="6"/>
  <c r="DN15" i="6"/>
  <c r="DN14" i="6"/>
  <c r="DN13" i="6"/>
  <c r="DN12" i="6"/>
  <c r="DN11" i="6"/>
  <c r="DN10" i="6"/>
  <c r="DN9" i="6"/>
  <c r="DN8" i="6"/>
  <c r="DN7" i="6"/>
  <c r="DN6" i="6"/>
  <c r="DN5" i="6"/>
  <c r="DN4" i="6"/>
  <c r="DN3" i="6"/>
  <c r="DN2" i="6"/>
  <c r="DO1" i="6"/>
  <c r="DN1" i="6"/>
  <c r="DM33" i="6"/>
  <c r="FH9" i="8" s="1"/>
  <c r="DL33" i="6"/>
  <c r="EV9" i="8" s="1"/>
  <c r="DK33" i="6"/>
  <c r="EJ9" i="8" s="1"/>
  <c r="DJ33" i="6"/>
  <c r="DX9" i="8" s="1"/>
  <c r="DI33" i="6"/>
  <c r="DH9" i="8" s="1"/>
  <c r="DH33" i="6"/>
  <c r="CR9" i="8" s="1"/>
  <c r="DG33" i="6"/>
  <c r="CB9" i="8" s="1"/>
  <c r="DF33" i="6"/>
  <c r="BQ9" i="8" s="1"/>
  <c r="DE33" i="6"/>
  <c r="BF9" i="8" s="1"/>
  <c r="DD33" i="6"/>
  <c r="AU9" i="8" s="1"/>
  <c r="DC33" i="6"/>
  <c r="AJ9" i="8" s="1"/>
  <c r="DB33" i="6"/>
  <c r="Y9" i="8" s="1"/>
  <c r="DA33" i="6"/>
  <c r="N9" i="8" s="1"/>
  <c r="CZ32" i="6"/>
  <c r="CZ31" i="6"/>
  <c r="CZ30" i="6"/>
  <c r="CZ29" i="6"/>
  <c r="CZ28" i="6"/>
  <c r="CZ27" i="6"/>
  <c r="CZ26" i="6"/>
  <c r="CZ25" i="6"/>
  <c r="CZ24" i="6"/>
  <c r="CZ23" i="6"/>
  <c r="CZ22" i="6"/>
  <c r="CZ21" i="6"/>
  <c r="CZ20" i="6"/>
  <c r="CZ19" i="6"/>
  <c r="CZ18" i="6"/>
  <c r="CZ17" i="6"/>
  <c r="CZ16" i="6"/>
  <c r="CZ15" i="6"/>
  <c r="CZ14" i="6"/>
  <c r="CZ13" i="6"/>
  <c r="CZ12" i="6"/>
  <c r="CZ11" i="6"/>
  <c r="CZ10" i="6"/>
  <c r="CZ9" i="6"/>
  <c r="CZ8" i="6"/>
  <c r="CZ7" i="6"/>
  <c r="CZ6" i="6"/>
  <c r="CZ5" i="6"/>
  <c r="CZ4" i="6"/>
  <c r="CZ3" i="6"/>
  <c r="CZ2" i="6"/>
  <c r="DA1" i="6"/>
  <c r="CZ1" i="6"/>
  <c r="CY33" i="6"/>
  <c r="FG9" i="8" s="1"/>
  <c r="CX33" i="6"/>
  <c r="EU9" i="8" s="1"/>
  <c r="CW33" i="6"/>
  <c r="EI9" i="8" s="1"/>
  <c r="CV33" i="6"/>
  <c r="DW9" i="8" s="1"/>
  <c r="CU33" i="6"/>
  <c r="DG9" i="8" s="1"/>
  <c r="CT33" i="6"/>
  <c r="CQ9" i="8" s="1"/>
  <c r="CS33" i="6"/>
  <c r="CA9" i="8" s="1"/>
  <c r="CR33" i="6"/>
  <c r="BP9" i="8" s="1"/>
  <c r="CQ33" i="6"/>
  <c r="BE9" i="8" s="1"/>
  <c r="CP33" i="6"/>
  <c r="AT9" i="8" s="1"/>
  <c r="CO33" i="6"/>
  <c r="AI9" i="8" s="1"/>
  <c r="CN33" i="6"/>
  <c r="X9" i="8" s="1"/>
  <c r="CM33" i="6"/>
  <c r="M9" i="8" s="1"/>
  <c r="CL32" i="6"/>
  <c r="CL31" i="6"/>
  <c r="CL30" i="6"/>
  <c r="CL29" i="6"/>
  <c r="CL28" i="6"/>
  <c r="CL27" i="6"/>
  <c r="CL26" i="6"/>
  <c r="CL25" i="6"/>
  <c r="CL24" i="6"/>
  <c r="CL23" i="6"/>
  <c r="CL22" i="6"/>
  <c r="CL21" i="6"/>
  <c r="CL20" i="6"/>
  <c r="CL19" i="6"/>
  <c r="CL18" i="6"/>
  <c r="CL17" i="6"/>
  <c r="CL16" i="6"/>
  <c r="CL15" i="6"/>
  <c r="CL14" i="6"/>
  <c r="CL13" i="6"/>
  <c r="CL12" i="6"/>
  <c r="CL11" i="6"/>
  <c r="CL10" i="6"/>
  <c r="CL9" i="6"/>
  <c r="CL8" i="6"/>
  <c r="CL7" i="6"/>
  <c r="CL6" i="6"/>
  <c r="CL5" i="6"/>
  <c r="CL4" i="6"/>
  <c r="CL3" i="6"/>
  <c r="CL2" i="6"/>
  <c r="CM1" i="6"/>
  <c r="CL1" i="6"/>
  <c r="CK33" i="6"/>
  <c r="FF9" i="8" s="1"/>
  <c r="CJ33" i="6"/>
  <c r="ET9" i="8" s="1"/>
  <c r="CI33" i="6"/>
  <c r="EH9" i="8" s="1"/>
  <c r="CH33" i="6"/>
  <c r="DV9" i="8" s="1"/>
  <c r="CG33" i="6"/>
  <c r="DF9" i="8" s="1"/>
  <c r="CF33" i="6"/>
  <c r="CP9" i="8" s="1"/>
  <c r="CE33" i="6"/>
  <c r="BZ9" i="8" s="1"/>
  <c r="CD33" i="6"/>
  <c r="BO9" i="8" s="1"/>
  <c r="CC33" i="6"/>
  <c r="BD9" i="8" s="1"/>
  <c r="CB33" i="6"/>
  <c r="AS9" i="8" s="1"/>
  <c r="CA33" i="6"/>
  <c r="AH9" i="8" s="1"/>
  <c r="BZ33" i="6"/>
  <c r="W9" i="8" s="1"/>
  <c r="BY33" i="6"/>
  <c r="L9" i="8" s="1"/>
  <c r="BX32" i="6"/>
  <c r="BX31" i="6"/>
  <c r="BX30" i="6"/>
  <c r="BX29" i="6"/>
  <c r="BX28" i="6"/>
  <c r="BX27" i="6"/>
  <c r="BX26" i="6"/>
  <c r="BX25" i="6"/>
  <c r="BX24" i="6"/>
  <c r="BX23" i="6"/>
  <c r="BX22" i="6"/>
  <c r="BX21" i="6"/>
  <c r="BX20" i="6"/>
  <c r="BX19" i="6"/>
  <c r="BX18" i="6"/>
  <c r="BX17" i="6"/>
  <c r="BX16" i="6"/>
  <c r="BX15" i="6"/>
  <c r="BX14" i="6"/>
  <c r="BX13" i="6"/>
  <c r="BX12" i="6"/>
  <c r="BX11" i="6"/>
  <c r="BX10" i="6"/>
  <c r="BX9" i="6"/>
  <c r="BX8" i="6"/>
  <c r="BX7" i="6"/>
  <c r="BX6" i="6"/>
  <c r="BX5" i="6"/>
  <c r="BX4" i="6"/>
  <c r="BX3" i="6"/>
  <c r="BX2" i="6"/>
  <c r="BY1" i="6"/>
  <c r="BX1" i="6"/>
  <c r="BW33" i="6"/>
  <c r="FE9" i="8" s="1"/>
  <c r="BV33" i="6"/>
  <c r="ES9" i="8" s="1"/>
  <c r="BU33" i="6"/>
  <c r="EG9" i="8" s="1"/>
  <c r="BT33" i="6"/>
  <c r="DU9" i="8" s="1"/>
  <c r="BS33" i="6"/>
  <c r="DE9" i="8" s="1"/>
  <c r="BR33" i="6"/>
  <c r="CO9" i="8" s="1"/>
  <c r="BQ33" i="6"/>
  <c r="BY9" i="8" s="1"/>
  <c r="BP33" i="6"/>
  <c r="BN9" i="8" s="1"/>
  <c r="BO33" i="6"/>
  <c r="BC9" i="8" s="1"/>
  <c r="BN33" i="6"/>
  <c r="AR9" i="8" s="1"/>
  <c r="BM33" i="6"/>
  <c r="AG9" i="8" s="1"/>
  <c r="BL33" i="6"/>
  <c r="V9" i="8" s="1"/>
  <c r="BK33" i="6"/>
  <c r="K9" i="8" s="1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J13" i="6"/>
  <c r="BJ12" i="6"/>
  <c r="BJ11" i="6"/>
  <c r="BJ10" i="6"/>
  <c r="BJ9" i="6"/>
  <c r="BJ8" i="6"/>
  <c r="BJ7" i="6"/>
  <c r="BJ6" i="6"/>
  <c r="BJ5" i="6"/>
  <c r="BJ4" i="6"/>
  <c r="BJ3" i="6"/>
  <c r="BJ2" i="6"/>
  <c r="BK1" i="6"/>
  <c r="BJ1" i="6"/>
  <c r="BI33" i="6"/>
  <c r="FD9" i="8" s="1"/>
  <c r="BH33" i="6"/>
  <c r="ER9" i="8" s="1"/>
  <c r="BG33" i="6"/>
  <c r="EF9" i="8" s="1"/>
  <c r="BF33" i="6"/>
  <c r="DT9" i="8" s="1"/>
  <c r="BE33" i="6"/>
  <c r="DD9" i="8" s="1"/>
  <c r="BD33" i="6"/>
  <c r="CN9" i="8" s="1"/>
  <c r="BC33" i="6"/>
  <c r="BX9" i="8" s="1"/>
  <c r="BB33" i="6"/>
  <c r="BM9" i="8" s="1"/>
  <c r="BA33" i="6"/>
  <c r="BB9" i="8" s="1"/>
  <c r="AZ33" i="6"/>
  <c r="AQ9" i="8" s="1"/>
  <c r="AY33" i="6"/>
  <c r="AF9" i="8" s="1"/>
  <c r="AX33" i="6"/>
  <c r="U9" i="8" s="1"/>
  <c r="AW33" i="6"/>
  <c r="J9" i="8" s="1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V13" i="6"/>
  <c r="AV12" i="6"/>
  <c r="AV11" i="6"/>
  <c r="AV10" i="6"/>
  <c r="AV9" i="6"/>
  <c r="AV8" i="6"/>
  <c r="AV7" i="6"/>
  <c r="AV6" i="6"/>
  <c r="AV5" i="6"/>
  <c r="AV4" i="6"/>
  <c r="AV3" i="6"/>
  <c r="AV2" i="6"/>
  <c r="AW1" i="6"/>
  <c r="AV1" i="6"/>
  <c r="AU33" i="6"/>
  <c r="DS9" i="8" s="1"/>
  <c r="AT33" i="6"/>
  <c r="DC9" i="8" s="1"/>
  <c r="AS33" i="6"/>
  <c r="CM9" i="8" s="1"/>
  <c r="AR33" i="6"/>
  <c r="BW9" i="8" s="1"/>
  <c r="AQ33" i="6"/>
  <c r="BL9" i="8" s="1"/>
  <c r="AP33" i="6"/>
  <c r="BA9" i="8" s="1"/>
  <c r="AO33" i="6"/>
  <c r="AP9" i="8" s="1"/>
  <c r="AN33" i="6"/>
  <c r="AE9" i="8" s="1"/>
  <c r="AM33" i="6"/>
  <c r="T9" i="8" s="1"/>
  <c r="AL33" i="6"/>
  <c r="I9" i="8" s="1"/>
  <c r="AK32" i="6"/>
  <c r="AK31" i="6"/>
  <c r="AK30" i="6"/>
  <c r="AK29" i="6"/>
  <c r="AK28" i="6"/>
  <c r="AK27" i="6"/>
  <c r="AK26" i="6"/>
  <c r="AK25" i="6"/>
  <c r="AK24" i="6"/>
  <c r="AK23" i="6"/>
  <c r="AK22" i="6"/>
  <c r="AK21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K4" i="6"/>
  <c r="AK3" i="6"/>
  <c r="AK2" i="6"/>
  <c r="AL1" i="6"/>
  <c r="AK1" i="6"/>
  <c r="AJ33" i="6"/>
  <c r="DR9" i="8" s="1"/>
  <c r="AI33" i="6"/>
  <c r="DB9" i="8" s="1"/>
  <c r="AH33" i="6"/>
  <c r="CL9" i="8" s="1"/>
  <c r="AG33" i="6"/>
  <c r="BV9" i="8" s="1"/>
  <c r="AF33" i="6"/>
  <c r="BK9" i="8" s="1"/>
  <c r="AE33" i="6"/>
  <c r="AZ9" i="8" s="1"/>
  <c r="AD33" i="6"/>
  <c r="AO9" i="8" s="1"/>
  <c r="AC33" i="6"/>
  <c r="AD9" i="8" s="1"/>
  <c r="AB33" i="6"/>
  <c r="S9" i="8" s="1"/>
  <c r="AA33" i="6"/>
  <c r="H9" i="8" s="1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Z7" i="6"/>
  <c r="Z6" i="6"/>
  <c r="Z5" i="6"/>
  <c r="Z4" i="6"/>
  <c r="Z3" i="6"/>
  <c r="Z2" i="6"/>
  <c r="AA1" i="6"/>
  <c r="Z1" i="6"/>
  <c r="Y33" i="6"/>
  <c r="DQ9" i="8" s="1"/>
  <c r="X33" i="6"/>
  <c r="DA9" i="8" s="1"/>
  <c r="W33" i="6"/>
  <c r="CK9" i="8" s="1"/>
  <c r="V33" i="6"/>
  <c r="BU9" i="8" s="1"/>
  <c r="U33" i="6"/>
  <c r="BJ9" i="8" s="1"/>
  <c r="T33" i="6"/>
  <c r="AY9" i="8" s="1"/>
  <c r="S33" i="6"/>
  <c r="AN9" i="8" s="1"/>
  <c r="R33" i="6"/>
  <c r="AC9" i="8" s="1"/>
  <c r="Q33" i="6"/>
  <c r="R9" i="8" s="1"/>
  <c r="P33" i="6"/>
  <c r="G9" i="8" s="1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P1" i="6"/>
  <c r="O1" i="6"/>
  <c r="N33" i="6"/>
  <c r="DP9" i="8" s="1"/>
  <c r="M33" i="6"/>
  <c r="CZ9" i="8" s="1"/>
  <c r="L33" i="6"/>
  <c r="CJ9" i="8" s="1"/>
  <c r="K33" i="6"/>
  <c r="BT9" i="8" s="1"/>
  <c r="J33" i="6"/>
  <c r="BI9" i="8" s="1"/>
  <c r="I33" i="6"/>
  <c r="AX9" i="8" s="1"/>
  <c r="H33" i="6"/>
  <c r="AM9" i="8" s="1"/>
  <c r="G33" i="6"/>
  <c r="AB9" i="8" s="1"/>
  <c r="F33" i="6"/>
  <c r="Q9" i="8" s="1"/>
  <c r="E33" i="6"/>
  <c r="F9" i="8" s="1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FZ9" i="6"/>
  <c r="FZ7" i="6"/>
  <c r="FZ5" i="6"/>
  <c r="B1" i="6"/>
  <c r="A1" i="6"/>
  <c r="GB51" i="6"/>
  <c r="GB50" i="6"/>
  <c r="GB49" i="6"/>
  <c r="GB48" i="6"/>
  <c r="GB47" i="6"/>
  <c r="GB46" i="6"/>
  <c r="GB45" i="6"/>
  <c r="GB44" i="6"/>
  <c r="C23" i="2"/>
  <c r="D6" i="2" s="1"/>
  <c r="C15" i="2"/>
  <c r="C6" i="2" s="1"/>
  <c r="C10" i="2"/>
  <c r="B6" i="2" s="1"/>
  <c r="C33" i="5" l="1"/>
  <c r="P26" i="11"/>
  <c r="N28" i="11"/>
  <c r="Q33" i="11"/>
  <c r="M29" i="11"/>
  <c r="O27" i="11"/>
  <c r="D30" i="11"/>
  <c r="J32" i="11"/>
  <c r="C31" i="11"/>
  <c r="K31" i="11"/>
  <c r="F28" i="11"/>
  <c r="G27" i="11"/>
  <c r="H26" i="11"/>
  <c r="E29" i="11"/>
  <c r="I33" i="11"/>
  <c r="L30" i="11"/>
  <c r="G4" i="11"/>
  <c r="O4" i="11"/>
  <c r="F5" i="11"/>
  <c r="N5" i="11"/>
  <c r="E6" i="11"/>
  <c r="M6" i="11"/>
  <c r="D7" i="11"/>
  <c r="L7" i="11"/>
  <c r="C8" i="11"/>
  <c r="K8" i="11"/>
  <c r="J9" i="11"/>
  <c r="I10" i="11"/>
  <c r="Q10" i="11"/>
  <c r="H11" i="11"/>
  <c r="P11" i="11"/>
  <c r="G12" i="11"/>
  <c r="O12" i="11"/>
  <c r="F13" i="11"/>
  <c r="N13" i="11"/>
  <c r="E14" i="11"/>
  <c r="M14" i="11"/>
  <c r="D15" i="11"/>
  <c r="L15" i="11"/>
  <c r="C16" i="11"/>
  <c r="K16" i="11"/>
  <c r="J17" i="11"/>
  <c r="I18" i="11"/>
  <c r="Q18" i="11"/>
  <c r="H19" i="11"/>
  <c r="P19" i="11"/>
  <c r="G20" i="11"/>
  <c r="O20" i="11"/>
  <c r="F21" i="11"/>
  <c r="N21" i="11"/>
  <c r="E22" i="11"/>
  <c r="M22" i="11"/>
  <c r="D23" i="11"/>
  <c r="L23" i="11"/>
  <c r="C24" i="11"/>
  <c r="K24" i="11"/>
  <c r="J25" i="11"/>
  <c r="I26" i="11"/>
  <c r="Q26" i="11"/>
  <c r="H27" i="11"/>
  <c r="P27" i="11"/>
  <c r="G28" i="11"/>
  <c r="O28" i="11"/>
  <c r="F29" i="11"/>
  <c r="N29" i="11"/>
  <c r="E30" i="11"/>
  <c r="M30" i="11"/>
  <c r="D31" i="11"/>
  <c r="L31" i="11"/>
  <c r="C32" i="11"/>
  <c r="K32" i="11"/>
  <c r="J33" i="11"/>
  <c r="H4" i="11"/>
  <c r="P4" i="11"/>
  <c r="G5" i="11"/>
  <c r="O5" i="11"/>
  <c r="F6" i="11"/>
  <c r="N6" i="11"/>
  <c r="E7" i="11"/>
  <c r="M7" i="11"/>
  <c r="D8" i="11"/>
  <c r="L8" i="11"/>
  <c r="C9" i="11"/>
  <c r="K9" i="11"/>
  <c r="J10" i="11"/>
  <c r="I11" i="11"/>
  <c r="Q11" i="11"/>
  <c r="H12" i="11"/>
  <c r="P12" i="11"/>
  <c r="G13" i="11"/>
  <c r="O13" i="11"/>
  <c r="F14" i="11"/>
  <c r="N14" i="11"/>
  <c r="E15" i="11"/>
  <c r="M15" i="11"/>
  <c r="D16" i="11"/>
  <c r="L16" i="11"/>
  <c r="C17" i="11"/>
  <c r="K17" i="11"/>
  <c r="J18" i="11"/>
  <c r="I19" i="11"/>
  <c r="Q19" i="11"/>
  <c r="H20" i="11"/>
  <c r="P20" i="11"/>
  <c r="G21" i="11"/>
  <c r="O21" i="11"/>
  <c r="F22" i="11"/>
  <c r="N22" i="11"/>
  <c r="E23" i="11"/>
  <c r="M23" i="11"/>
  <c r="D24" i="11"/>
  <c r="L24" i="11"/>
  <c r="C25" i="11"/>
  <c r="K25" i="11"/>
  <c r="J26" i="11"/>
  <c r="I27" i="11"/>
  <c r="Q27" i="11"/>
  <c r="H28" i="11"/>
  <c r="P28" i="11"/>
  <c r="G29" i="11"/>
  <c r="O29" i="11"/>
  <c r="F30" i="11"/>
  <c r="N30" i="11"/>
  <c r="E31" i="11"/>
  <c r="M31" i="11"/>
  <c r="D32" i="11"/>
  <c r="L32" i="11"/>
  <c r="C33" i="11"/>
  <c r="K33" i="11"/>
  <c r="I4" i="11"/>
  <c r="Q4" i="11"/>
  <c r="H5" i="11"/>
  <c r="P5" i="11"/>
  <c r="G6" i="11"/>
  <c r="O6" i="11"/>
  <c r="F7" i="11"/>
  <c r="N7" i="11"/>
  <c r="E8" i="11"/>
  <c r="M8" i="11"/>
  <c r="D9" i="11"/>
  <c r="L9" i="11"/>
  <c r="C10" i="11"/>
  <c r="K10" i="11"/>
  <c r="J11" i="11"/>
  <c r="I12" i="11"/>
  <c r="Q12" i="11"/>
  <c r="H13" i="11"/>
  <c r="P13" i="11"/>
  <c r="G14" i="11"/>
  <c r="O14" i="11"/>
  <c r="F15" i="11"/>
  <c r="N15" i="11"/>
  <c r="E16" i="11"/>
  <c r="M16" i="11"/>
  <c r="D17" i="11"/>
  <c r="L17" i="11"/>
  <c r="C18" i="11"/>
  <c r="K18" i="11"/>
  <c r="J19" i="11"/>
  <c r="I20" i="11"/>
  <c r="Q20" i="11"/>
  <c r="H21" i="11"/>
  <c r="P21" i="11"/>
  <c r="G22" i="11"/>
  <c r="O22" i="11"/>
  <c r="F23" i="11"/>
  <c r="N23" i="11"/>
  <c r="E24" i="11"/>
  <c r="M24" i="11"/>
  <c r="D25" i="11"/>
  <c r="L25" i="11"/>
  <c r="C26" i="11"/>
  <c r="K26" i="11"/>
  <c r="J27" i="11"/>
  <c r="I28" i="11"/>
  <c r="Q28" i="11"/>
  <c r="H29" i="11"/>
  <c r="P29" i="11"/>
  <c r="G30" i="11"/>
  <c r="O30" i="11"/>
  <c r="F31" i="11"/>
  <c r="N31" i="11"/>
  <c r="E32" i="11"/>
  <c r="M32" i="11"/>
  <c r="D33" i="11"/>
  <c r="L33" i="11"/>
  <c r="J4" i="11"/>
  <c r="I5" i="11"/>
  <c r="Q5" i="11"/>
  <c r="H6" i="11"/>
  <c r="P6" i="11"/>
  <c r="G7" i="11"/>
  <c r="O7" i="11"/>
  <c r="F8" i="11"/>
  <c r="N8" i="11"/>
  <c r="E9" i="11"/>
  <c r="M9" i="11"/>
  <c r="D10" i="11"/>
  <c r="L10" i="11"/>
  <c r="C11" i="11"/>
  <c r="K11" i="11"/>
  <c r="J12" i="11"/>
  <c r="I13" i="11"/>
  <c r="Q13" i="11"/>
  <c r="H14" i="11"/>
  <c r="P14" i="11"/>
  <c r="G15" i="11"/>
  <c r="O15" i="11"/>
  <c r="F16" i="11"/>
  <c r="N16" i="11"/>
  <c r="E17" i="11"/>
  <c r="M17" i="11"/>
  <c r="D18" i="11"/>
  <c r="L18" i="11"/>
  <c r="C19" i="11"/>
  <c r="K19" i="11"/>
  <c r="J20" i="11"/>
  <c r="I21" i="11"/>
  <c r="Q21" i="11"/>
  <c r="H22" i="11"/>
  <c r="P22" i="11"/>
  <c r="G23" i="11"/>
  <c r="O23" i="11"/>
  <c r="F24" i="11"/>
  <c r="N24" i="11"/>
  <c r="E25" i="11"/>
  <c r="M25" i="11"/>
  <c r="D26" i="11"/>
  <c r="L26" i="11"/>
  <c r="C27" i="11"/>
  <c r="K27" i="11"/>
  <c r="J28" i="11"/>
  <c r="I29" i="11"/>
  <c r="Q29" i="11"/>
  <c r="H30" i="11"/>
  <c r="P30" i="11"/>
  <c r="G31" i="11"/>
  <c r="O31" i="11"/>
  <c r="F32" i="11"/>
  <c r="N32" i="11"/>
  <c r="E33" i="11"/>
  <c r="M33" i="11"/>
  <c r="C4" i="11"/>
  <c r="K4" i="11"/>
  <c r="J5" i="11"/>
  <c r="I6" i="11"/>
  <c r="Q6" i="11"/>
  <c r="H7" i="11"/>
  <c r="P7" i="11"/>
  <c r="G8" i="11"/>
  <c r="O8" i="11"/>
  <c r="F9" i="11"/>
  <c r="N9" i="11"/>
  <c r="E10" i="11"/>
  <c r="M10" i="11"/>
  <c r="D11" i="11"/>
  <c r="L11" i="11"/>
  <c r="C12" i="11"/>
  <c r="K12" i="11"/>
  <c r="J13" i="11"/>
  <c r="I14" i="11"/>
  <c r="Q14" i="11"/>
  <c r="H15" i="11"/>
  <c r="P15" i="11"/>
  <c r="G16" i="11"/>
  <c r="O16" i="11"/>
  <c r="F17" i="11"/>
  <c r="N17" i="11"/>
  <c r="E18" i="11"/>
  <c r="M18" i="11"/>
  <c r="D19" i="11"/>
  <c r="L19" i="11"/>
  <c r="C20" i="11"/>
  <c r="K20" i="11"/>
  <c r="J21" i="11"/>
  <c r="I22" i="11"/>
  <c r="Q22" i="11"/>
  <c r="H23" i="11"/>
  <c r="P23" i="11"/>
  <c r="G24" i="11"/>
  <c r="O24" i="11"/>
  <c r="F25" i="11"/>
  <c r="N25" i="11"/>
  <c r="E26" i="11"/>
  <c r="M26" i="11"/>
  <c r="D27" i="11"/>
  <c r="L27" i="11"/>
  <c r="C28" i="11"/>
  <c r="K28" i="11"/>
  <c r="J29" i="11"/>
  <c r="I30" i="11"/>
  <c r="Q30" i="11"/>
  <c r="H31" i="11"/>
  <c r="P31" i="11"/>
  <c r="G32" i="11"/>
  <c r="O32" i="11"/>
  <c r="F33" i="11"/>
  <c r="N33" i="11"/>
  <c r="D4" i="11"/>
  <c r="L4" i="11"/>
  <c r="C5" i="11"/>
  <c r="K5" i="11"/>
  <c r="J6" i="11"/>
  <c r="I7" i="11"/>
  <c r="Q7" i="11"/>
  <c r="H8" i="11"/>
  <c r="P8" i="11"/>
  <c r="G9" i="11"/>
  <c r="O9" i="11"/>
  <c r="F10" i="11"/>
  <c r="N10" i="11"/>
  <c r="E11" i="11"/>
  <c r="M11" i="11"/>
  <c r="D12" i="11"/>
  <c r="L12" i="11"/>
  <c r="C13" i="11"/>
  <c r="K13" i="11"/>
  <c r="J14" i="11"/>
  <c r="I15" i="11"/>
  <c r="Q15" i="11"/>
  <c r="H16" i="11"/>
  <c r="P16" i="11"/>
  <c r="G17" i="11"/>
  <c r="O17" i="11"/>
  <c r="F18" i="11"/>
  <c r="N18" i="11"/>
  <c r="E19" i="11"/>
  <c r="M19" i="11"/>
  <c r="D20" i="11"/>
  <c r="L20" i="11"/>
  <c r="C21" i="11"/>
  <c r="K21" i="11"/>
  <c r="J22" i="11"/>
  <c r="I23" i="11"/>
  <c r="Q23" i="11"/>
  <c r="H24" i="11"/>
  <c r="P24" i="11"/>
  <c r="G25" i="11"/>
  <c r="O25" i="11"/>
  <c r="F26" i="11"/>
  <c r="N26" i="11"/>
  <c r="E27" i="11"/>
  <c r="M27" i="11"/>
  <c r="D28" i="11"/>
  <c r="L28" i="11"/>
  <c r="C29" i="11"/>
  <c r="K29" i="11"/>
  <c r="J30" i="11"/>
  <c r="I31" i="11"/>
  <c r="Q31" i="11"/>
  <c r="H32" i="11"/>
  <c r="P32" i="11"/>
  <c r="G33" i="11"/>
  <c r="O33" i="11"/>
  <c r="E4" i="11"/>
  <c r="M4" i="11"/>
  <c r="D5" i="11"/>
  <c r="L5" i="11"/>
  <c r="C6" i="11"/>
  <c r="K6" i="11"/>
  <c r="J7" i="11"/>
  <c r="I8" i="11"/>
  <c r="Q8" i="11"/>
  <c r="H9" i="11"/>
  <c r="P9" i="11"/>
  <c r="G10" i="11"/>
  <c r="O10" i="11"/>
  <c r="F11" i="11"/>
  <c r="N11" i="11"/>
  <c r="E12" i="11"/>
  <c r="M12" i="11"/>
  <c r="D13" i="11"/>
  <c r="L13" i="11"/>
  <c r="C14" i="11"/>
  <c r="K14" i="11"/>
  <c r="J15" i="11"/>
  <c r="I16" i="11"/>
  <c r="Q16" i="11"/>
  <c r="H17" i="11"/>
  <c r="P17" i="11"/>
  <c r="G18" i="11"/>
  <c r="O18" i="11"/>
  <c r="F19" i="11"/>
  <c r="N19" i="11"/>
  <c r="E20" i="11"/>
  <c r="M20" i="11"/>
  <c r="D21" i="11"/>
  <c r="L21" i="11"/>
  <c r="C22" i="11"/>
  <c r="K22" i="11"/>
  <c r="J23" i="11"/>
  <c r="I24" i="11"/>
  <c r="Q24" i="11"/>
  <c r="H25" i="11"/>
  <c r="P25" i="11"/>
  <c r="G26" i="11"/>
  <c r="O26" i="11"/>
  <c r="F27" i="11"/>
  <c r="N27" i="11"/>
  <c r="E28" i="11"/>
  <c r="M28" i="11"/>
  <c r="D29" i="11"/>
  <c r="L29" i="11"/>
  <c r="C30" i="11"/>
  <c r="K30" i="11"/>
  <c r="J31" i="11"/>
  <c r="I32" i="11"/>
  <c r="Q32" i="11"/>
  <c r="H33" i="11"/>
  <c r="P33" i="11"/>
  <c r="F4" i="11"/>
  <c r="N4" i="11"/>
  <c r="E5" i="11"/>
  <c r="M5" i="11"/>
  <c r="D6" i="11"/>
  <c r="L6" i="11"/>
  <c r="C7" i="11"/>
  <c r="K7" i="11"/>
  <c r="J8" i="11"/>
  <c r="I9" i="11"/>
  <c r="Q9" i="11"/>
  <c r="H10" i="11"/>
  <c r="P10" i="11"/>
  <c r="G11" i="11"/>
  <c r="O11" i="11"/>
  <c r="F12" i="11"/>
  <c r="N12" i="11"/>
  <c r="E13" i="11"/>
  <c r="M13" i="11"/>
  <c r="D14" i="11"/>
  <c r="L14" i="11"/>
  <c r="C15" i="11"/>
  <c r="K15" i="11"/>
  <c r="J16" i="11"/>
  <c r="I17" i="11"/>
  <c r="Q17" i="11"/>
  <c r="H18" i="11"/>
  <c r="P18" i="11"/>
  <c r="G19" i="11"/>
  <c r="O19" i="11"/>
  <c r="F20" i="11"/>
  <c r="N20" i="11"/>
  <c r="E21" i="11"/>
  <c r="M21" i="11"/>
  <c r="D22" i="11"/>
  <c r="L22" i="11"/>
  <c r="C23" i="11"/>
  <c r="K23" i="11"/>
  <c r="J24" i="11"/>
  <c r="I25" i="11"/>
  <c r="Q25" i="11"/>
  <c r="HA160" i="8"/>
  <c r="F24" i="9" s="1"/>
  <c r="G24" i="9" s="1"/>
  <c r="HI160" i="8"/>
  <c r="F34" i="9" s="1"/>
  <c r="G34" i="9" s="1"/>
  <c r="HB160" i="8"/>
  <c r="HJ160" i="8"/>
  <c r="F35" i="9" s="1"/>
  <c r="G35" i="9" s="1"/>
  <c r="HC160" i="8"/>
  <c r="F27" i="9" s="1"/>
  <c r="G27" i="9" s="1"/>
  <c r="HK160" i="8"/>
  <c r="F36" i="9" s="1"/>
  <c r="G36" i="9" s="1"/>
  <c r="HD160" i="8"/>
  <c r="F28" i="9" s="1"/>
  <c r="G28" i="9" s="1"/>
  <c r="HL160" i="8"/>
  <c r="F37" i="9" s="1"/>
  <c r="G37" i="9" s="1"/>
  <c r="HE160" i="8"/>
  <c r="F29" i="9" s="1"/>
  <c r="G29" i="9" s="1"/>
  <c r="GX160" i="8"/>
  <c r="HF160" i="8"/>
  <c r="F30" i="9" s="1"/>
  <c r="G30" i="9" s="1"/>
  <c r="GY160" i="8"/>
  <c r="F22" i="9" s="1"/>
  <c r="G22" i="9" s="1"/>
  <c r="HG160" i="8"/>
  <c r="F31" i="9" s="1"/>
  <c r="G31" i="9" s="1"/>
  <c r="GZ160" i="8"/>
  <c r="F23" i="9" s="1"/>
  <c r="G23" i="9" s="1"/>
  <c r="HH160" i="8"/>
  <c r="F32" i="9" s="1"/>
  <c r="G32" i="9" s="1"/>
  <c r="GS45" i="8"/>
  <c r="GS17" i="8"/>
  <c r="GS25" i="8"/>
  <c r="GS73" i="8"/>
  <c r="GS10" i="8"/>
  <c r="GS42" i="8"/>
  <c r="GS58" i="8"/>
  <c r="GS28" i="8"/>
  <c r="GS36" i="8"/>
  <c r="GS76" i="8"/>
  <c r="GS154" i="8"/>
  <c r="GC43" i="6"/>
  <c r="GD43" i="6" s="1"/>
  <c r="GS78" i="8"/>
  <c r="GS32" i="8"/>
  <c r="GS48" i="8"/>
  <c r="GS56" i="8"/>
  <c r="GS64" i="8"/>
  <c r="GS49" i="8"/>
  <c r="GS57" i="8"/>
  <c r="GS153" i="8"/>
  <c r="GS34" i="8"/>
  <c r="GS83" i="8"/>
  <c r="GS29" i="8"/>
  <c r="GS22" i="8"/>
  <c r="GS62" i="8"/>
  <c r="GS70" i="8"/>
  <c r="GS86" i="8"/>
  <c r="GS94" i="8"/>
  <c r="GS102" i="8"/>
  <c r="GS110" i="8"/>
  <c r="GS118" i="8"/>
  <c r="GS126" i="8"/>
  <c r="GS134" i="8"/>
  <c r="GS142" i="8"/>
  <c r="GS150" i="8"/>
  <c r="GS24" i="8"/>
  <c r="GS80" i="8"/>
  <c r="GS88" i="8"/>
  <c r="GS14" i="8"/>
  <c r="GS30" i="8"/>
  <c r="GS38" i="8"/>
  <c r="GS46" i="8"/>
  <c r="GS54" i="8"/>
  <c r="GS144" i="8"/>
  <c r="GS152" i="8"/>
  <c r="GS15" i="8"/>
  <c r="GS23" i="8"/>
  <c r="GS31" i="8"/>
  <c r="GS39" i="8"/>
  <c r="GS47" i="8"/>
  <c r="GS55" i="8"/>
  <c r="GS63" i="8"/>
  <c r="GS71" i="8"/>
  <c r="GS79" i="8"/>
  <c r="GS87" i="8"/>
  <c r="GS95" i="8"/>
  <c r="GS103" i="8"/>
  <c r="GS111" i="8"/>
  <c r="GS119" i="8"/>
  <c r="GS127" i="8"/>
  <c r="GS135" i="8"/>
  <c r="GS143" i="8"/>
  <c r="GS151" i="8"/>
  <c r="GS158" i="8"/>
  <c r="GS159" i="8"/>
  <c r="GS16" i="8"/>
  <c r="GS33" i="8"/>
  <c r="GS40" i="8"/>
  <c r="GS72" i="8"/>
  <c r="GS96" i="8"/>
  <c r="GS104" i="8"/>
  <c r="GS112" i="8"/>
  <c r="GS120" i="8"/>
  <c r="GS128" i="8"/>
  <c r="GS136" i="8"/>
  <c r="GS41" i="8"/>
  <c r="GS65" i="8"/>
  <c r="GS81" i="8"/>
  <c r="GS89" i="8"/>
  <c r="GS97" i="8"/>
  <c r="GS105" i="8"/>
  <c r="GS113" i="8"/>
  <c r="GS121" i="8"/>
  <c r="GS129" i="8"/>
  <c r="GS137" i="8"/>
  <c r="GS145" i="8"/>
  <c r="GS18" i="8"/>
  <c r="GS26" i="8"/>
  <c r="GS50" i="8"/>
  <c r="GS66" i="8"/>
  <c r="GS74" i="8"/>
  <c r="GS82" i="8"/>
  <c r="GS90" i="8"/>
  <c r="GS98" i="8"/>
  <c r="GS106" i="8"/>
  <c r="GS114" i="8"/>
  <c r="GS122" i="8"/>
  <c r="GS130" i="8"/>
  <c r="GS138" i="8"/>
  <c r="GS146" i="8"/>
  <c r="GS148" i="8"/>
  <c r="GS156" i="8"/>
  <c r="GS11" i="8"/>
  <c r="GS19" i="8"/>
  <c r="GS27" i="8"/>
  <c r="GS35" i="8"/>
  <c r="GS43" i="8"/>
  <c r="GS51" i="8"/>
  <c r="GS59" i="8"/>
  <c r="GS67" i="8"/>
  <c r="GS75" i="8"/>
  <c r="GS91" i="8"/>
  <c r="GS99" i="8"/>
  <c r="GS107" i="8"/>
  <c r="GS115" i="8"/>
  <c r="GS123" i="8"/>
  <c r="GS131" i="8"/>
  <c r="GS139" i="8"/>
  <c r="GS147" i="8"/>
  <c r="GS155" i="8"/>
  <c r="GS12" i="8"/>
  <c r="GS20" i="8"/>
  <c r="GS37" i="8"/>
  <c r="GS44" i="8"/>
  <c r="GS52" i="8"/>
  <c r="GS60" i="8"/>
  <c r="GS68" i="8"/>
  <c r="GS84" i="8"/>
  <c r="GS92" i="8"/>
  <c r="GS100" i="8"/>
  <c r="GS108" i="8"/>
  <c r="GS116" i="8"/>
  <c r="GS124" i="8"/>
  <c r="GS132" i="8"/>
  <c r="GS140" i="8"/>
  <c r="GS13" i="8"/>
  <c r="GS21" i="8"/>
  <c r="GS53" i="8"/>
  <c r="GS61" i="8"/>
  <c r="GS69" i="8"/>
  <c r="GS77" i="8"/>
  <c r="GS85" i="8"/>
  <c r="GS93" i="8"/>
  <c r="GS101" i="8"/>
  <c r="GS109" i="8"/>
  <c r="GS117" i="8"/>
  <c r="GS125" i="8"/>
  <c r="GS133" i="8"/>
  <c r="GS141" i="8"/>
  <c r="GS149" i="8"/>
  <c r="GS157" i="8"/>
  <c r="GC39" i="6"/>
  <c r="GD39" i="6" s="1"/>
  <c r="GC48" i="6"/>
  <c r="GD48" i="6" s="1"/>
  <c r="GC47" i="6"/>
  <c r="GD47" i="6" s="1"/>
  <c r="GC49" i="6"/>
  <c r="GD49" i="6" s="1"/>
  <c r="GC41" i="6"/>
  <c r="GD41" i="6" s="1"/>
  <c r="GC45" i="6"/>
  <c r="GD45" i="6" s="1"/>
  <c r="GC46" i="6"/>
  <c r="GD46" i="6" s="1"/>
  <c r="GC51" i="6"/>
  <c r="GD51" i="6" s="1"/>
  <c r="GC40" i="6"/>
  <c r="GD40" i="6" s="1"/>
  <c r="GC50" i="6"/>
  <c r="GD50" i="6" s="1"/>
  <c r="GC42" i="6"/>
  <c r="GD42" i="6" s="1"/>
  <c r="GC44" i="6"/>
  <c r="GD44" i="6" s="1"/>
  <c r="DO34" i="6"/>
  <c r="FF34" i="6"/>
  <c r="AK33" i="6"/>
  <c r="AV33" i="6"/>
  <c r="EC34" i="6"/>
  <c r="O33" i="6"/>
  <c r="EB33" i="6"/>
  <c r="FF33" i="6"/>
  <c r="D33" i="6"/>
  <c r="CL33" i="6"/>
  <c r="DN33" i="6"/>
  <c r="EV33" i="6"/>
  <c r="FP33" i="6"/>
  <c r="Z33" i="6"/>
  <c r="EL33" i="6"/>
  <c r="BX33" i="6"/>
  <c r="CZ33" i="6"/>
  <c r="BJ33" i="6"/>
  <c r="DN34" i="6"/>
  <c r="DA34" i="6"/>
  <c r="CL34" i="6"/>
  <c r="AW34" i="6"/>
  <c r="EM34" i="6"/>
  <c r="EL34" i="6"/>
  <c r="E34" i="6"/>
  <c r="BY34" i="6"/>
  <c r="FG34" i="6"/>
  <c r="AL34" i="6"/>
  <c r="BJ34" i="6"/>
  <c r="CM34" i="6"/>
  <c r="AA34" i="6"/>
  <c r="BK34" i="6"/>
  <c r="BX34" i="6"/>
  <c r="EW34" i="6"/>
  <c r="P34" i="6"/>
  <c r="FQ34" i="6"/>
  <c r="C33" i="6"/>
  <c r="FZ33" i="6" s="1"/>
  <c r="EB34" i="6"/>
  <c r="FP34" i="6"/>
  <c r="GC37" i="6"/>
  <c r="GD37" i="6" s="1"/>
  <c r="GC38" i="6"/>
  <c r="GD38" i="6" s="1"/>
  <c r="AV34" i="6"/>
  <c r="CZ34" i="6"/>
  <c r="EV34" i="6"/>
  <c r="AK34" i="6"/>
  <c r="D34" i="6"/>
  <c r="O34" i="6"/>
  <c r="Z34" i="6"/>
  <c r="E6" i="2"/>
  <c r="F26" i="9" l="1"/>
  <c r="G26" i="9" s="1"/>
  <c r="F21" i="9"/>
  <c r="G21" i="9" s="1"/>
  <c r="F34" i="11"/>
  <c r="N34" i="11"/>
  <c r="M34" i="11"/>
  <c r="L34" i="11"/>
  <c r="K34" i="11"/>
  <c r="E34" i="11"/>
  <c r="D34" i="11"/>
  <c r="C34" i="11"/>
  <c r="J34" i="11"/>
  <c r="Q34" i="11"/>
  <c r="I34" i="11"/>
  <c r="P34" i="11"/>
  <c r="O34" i="11"/>
  <c r="H34" i="11"/>
  <c r="G34" i="11"/>
  <c r="B38" i="9" l="1"/>
  <c r="GB43" i="6"/>
  <c r="GB42" i="6"/>
  <c r="GB41" i="6"/>
  <c r="GB40" i="6"/>
  <c r="GB39" i="6"/>
  <c r="GB38" i="6"/>
  <c r="GB37" i="6"/>
</calcChain>
</file>

<file path=xl/sharedStrings.xml><?xml version="1.0" encoding="utf-8"?>
<sst xmlns="http://schemas.openxmlformats.org/spreadsheetml/2006/main" count="144" uniqueCount="111">
  <si>
    <t xml:space="preserve">Course Title:                    </t>
  </si>
  <si>
    <t>Course Code:</t>
  </si>
  <si>
    <t>Academic Year:</t>
  </si>
  <si>
    <t xml:space="preserve">Course Instructor: </t>
  </si>
  <si>
    <t>K1</t>
  </si>
  <si>
    <t>K2</t>
  </si>
  <si>
    <t>K3</t>
  </si>
  <si>
    <t>K4</t>
  </si>
  <si>
    <t>S1</t>
  </si>
  <si>
    <t>S3</t>
  </si>
  <si>
    <t>S4</t>
  </si>
  <si>
    <t>S5</t>
  </si>
  <si>
    <t>S6</t>
  </si>
  <si>
    <t>S2</t>
  </si>
  <si>
    <t>V1</t>
  </si>
  <si>
    <t>V2</t>
  </si>
  <si>
    <t>V3</t>
  </si>
  <si>
    <t>V4</t>
  </si>
  <si>
    <t>Skills</t>
  </si>
  <si>
    <t>Values</t>
  </si>
  <si>
    <t>CLOs</t>
  </si>
  <si>
    <t>Mark</t>
  </si>
  <si>
    <t>Target</t>
  </si>
  <si>
    <t>Criterion for Success</t>
  </si>
  <si>
    <t>Target Level</t>
  </si>
  <si>
    <t>Total</t>
  </si>
  <si>
    <t>List of Topics</t>
  </si>
  <si>
    <t>No.</t>
  </si>
  <si>
    <t>Contact Hours</t>
  </si>
  <si>
    <t>Remark</t>
  </si>
  <si>
    <t>CLOs Checking</t>
  </si>
  <si>
    <t>Topics 
Checking</t>
  </si>
  <si>
    <t>Exam6</t>
  </si>
  <si>
    <t>Reports</t>
  </si>
  <si>
    <t>Presentation</t>
  </si>
  <si>
    <t>Assignments</t>
  </si>
  <si>
    <t>Checking activities and CLOs</t>
  </si>
  <si>
    <t>Exam</t>
  </si>
  <si>
    <t xml:space="preserve"> Mark</t>
  </si>
  <si>
    <t>Ckecking</t>
  </si>
  <si>
    <t>Seq.</t>
  </si>
  <si>
    <t>Student Name</t>
  </si>
  <si>
    <t>Couse Title:</t>
  </si>
  <si>
    <t>Coordinator:</t>
  </si>
  <si>
    <t>Section Result</t>
  </si>
  <si>
    <t>Final Exam</t>
  </si>
  <si>
    <t>Final Lab</t>
  </si>
  <si>
    <t>Quizzes</t>
  </si>
  <si>
    <t>Actual</t>
  </si>
  <si>
    <t>Course Information</t>
  </si>
  <si>
    <t>Status</t>
  </si>
  <si>
    <t>Comment</t>
  </si>
  <si>
    <t>All_1</t>
  </si>
  <si>
    <t>All_2</t>
  </si>
  <si>
    <t xml:space="preserve">Knowledge </t>
  </si>
  <si>
    <t>First Exam</t>
  </si>
  <si>
    <t>Second Exam</t>
  </si>
  <si>
    <t>Oral Presentation</t>
  </si>
  <si>
    <t>Course Learning Outcomes</t>
  </si>
  <si>
    <t>#</t>
  </si>
  <si>
    <t>Aligned PLOs</t>
  </si>
  <si>
    <t>S7</t>
  </si>
  <si>
    <t>Full Mark</t>
  </si>
  <si>
    <t xml:space="preserve"> Build panel</t>
  </si>
  <si>
    <t># of Topics</t>
  </si>
  <si>
    <t>Project</t>
  </si>
  <si>
    <t>All_3</t>
  </si>
  <si>
    <t>All_4</t>
  </si>
  <si>
    <t>Activities</t>
  </si>
  <si>
    <r>
      <t xml:space="preserve">KINGDOM OF SAUDI ARABIA
Ministry of Education
University of Tabuk
</t>
    </r>
    <r>
      <rPr>
        <b/>
        <sz val="20"/>
        <color rgb="FFFFFFFF"/>
        <rFont val="Calibri"/>
        <family val="2"/>
      </rPr>
      <t>CLOs Mearsurement</t>
    </r>
    <r>
      <rPr>
        <b/>
        <sz val="18"/>
        <color rgb="FFFFFFFF"/>
        <rFont val="Calibri"/>
        <family val="2"/>
      </rPr>
      <t>(Version 6.0)</t>
    </r>
  </si>
  <si>
    <t>Student No</t>
  </si>
  <si>
    <t>Regular Students:</t>
  </si>
  <si>
    <t>Section</t>
  </si>
  <si>
    <t>Section:</t>
  </si>
  <si>
    <t>Instructor:</t>
  </si>
  <si>
    <t>Number of  Students:</t>
  </si>
  <si>
    <t xml:space="preserve">Actual </t>
  </si>
  <si>
    <t xml:space="preserve">  Course Code:</t>
  </si>
  <si>
    <t>Department:</t>
  </si>
  <si>
    <t xml:space="preserve">  Program: </t>
  </si>
  <si>
    <t>College</t>
  </si>
  <si>
    <t>College:</t>
  </si>
  <si>
    <t xml:space="preserve">  Section:</t>
  </si>
  <si>
    <t xml:space="preserve">  Semester:</t>
  </si>
  <si>
    <t xml:space="preserve"> Date:</t>
  </si>
  <si>
    <t xml:space="preserve">  Course Coordinator:</t>
  </si>
  <si>
    <t>Course information</t>
  </si>
  <si>
    <t>Course Title</t>
  </si>
  <si>
    <t>Course Code</t>
  </si>
  <si>
    <t>Department</t>
  </si>
  <si>
    <t>Program</t>
  </si>
  <si>
    <t>Academic Year</t>
  </si>
  <si>
    <t>Semester</t>
  </si>
  <si>
    <t>Course Instructor</t>
  </si>
  <si>
    <t>Course Coordinator</t>
  </si>
  <si>
    <t>Number of Students (Starting the Course)</t>
  </si>
  <si>
    <t>Number of Students (Completed the Course)</t>
  </si>
  <si>
    <t>Report Date</t>
  </si>
  <si>
    <t>Course learning outcomes assessment results</t>
  </si>
  <si>
    <t>Course learning outcome</t>
  </si>
  <si>
    <t>Related PLO code</t>
  </si>
  <si>
    <t>Assessment results</t>
  </si>
  <si>
    <t>CLO</t>
  </si>
  <si>
    <t>Knowledge and understanding</t>
  </si>
  <si>
    <t>S7 Communication</t>
  </si>
  <si>
    <t>Activity:</t>
  </si>
  <si>
    <t>Topics</t>
  </si>
  <si>
    <t>Topics Checking</t>
  </si>
  <si>
    <t>Select...</t>
  </si>
  <si>
    <t>ActualFail</t>
  </si>
  <si>
    <t>FailCode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</si>
</sst>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6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72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4"/>
      <color theme="0" tint="-0.14999847407452621"/>
      <name val="Calibri"/>
      <family val="2"/>
      <scheme val="minor"/>
    </font>
    <font>
      <b/>
      <sz val="22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Arial Black"/>
      <family val="2"/>
    </font>
    <font>
      <b/>
      <sz val="16"/>
      <color rgb="FFFFFFFF"/>
      <name val="Arial Black"/>
      <family val="2"/>
    </font>
    <font>
      <b/>
      <sz val="14"/>
      <color rgb="FFFFFFFF"/>
      <name val="Calibri"/>
      <family val="2"/>
    </font>
    <font>
      <b/>
      <sz val="20"/>
      <color rgb="FFFFFFFF"/>
      <name val="Calibri"/>
      <family val="2"/>
    </font>
    <font>
      <b/>
      <sz val="18"/>
      <color rgb="FFFFFFFF"/>
      <name val="Calibri"/>
      <family val="2"/>
    </font>
    <font>
      <b/>
      <sz val="12"/>
      <color rgb="FF2F3E4E"/>
      <name val="Calibri"/>
      <family val="2"/>
    </font>
    <font>
      <b/>
      <sz val="16"/>
      <color rgb="FFFFFFFF"/>
      <name val="Calibri"/>
      <family val="2"/>
    </font>
    <font>
      <sz val="12"/>
      <color rgb="FF2F3E4E"/>
      <name val="Calibri"/>
      <family val="2"/>
    </font>
    <font>
      <b/>
      <sz val="12"/>
      <color rgb="FFFFFFFF"/>
      <name val="Calibri"/>
      <family val="2"/>
    </font>
    <font>
      <sz val="11"/>
      <color rgb="FF2F3E4E"/>
      <name val="Calibri"/>
      <family val="2"/>
    </font>
    <font>
      <b/>
      <sz val="12"/>
      <color theme="0"/>
      <name val="Calibri"/>
      <family val="2"/>
      <scheme val="minor"/>
    </font>
    <font>
      <b/>
      <sz val="13"/>
      <color rgb="FFFFFFFF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85FA5"/>
      <name val="Calibri"/>
      <family val="2"/>
    </font>
    <font>
      <b/>
      <sz val="20"/>
      <color theme="1"/>
      <name val="Arial Narrow"/>
      <family val="2"/>
    </font>
    <font>
      <sz val="14"/>
      <name val="Arial"/>
      <family val="2"/>
    </font>
    <font>
      <b/>
      <sz val="16"/>
      <color rgb="FF2F3E4E"/>
      <name val="Calibri"/>
      <family val="2"/>
    </font>
    <font>
      <b/>
      <sz val="11"/>
      <color rgb="FFFFFFFF"/>
      <name val="Calibri"/>
      <family val="2"/>
      <scheme val="minor"/>
    </font>
    <font>
      <sz val="11"/>
      <color rgb="FF2F3E4E"/>
      <name val="Calibri"/>
      <family val="2"/>
      <scheme val="minor"/>
    </font>
    <font>
      <b/>
      <sz val="11"/>
      <color rgb="FF2F3E4E"/>
      <name val="Calibri"/>
      <family val="2"/>
      <scheme val="minor"/>
    </font>
    <font>
      <sz val="11"/>
      <color rgb="FF185FA5"/>
      <name val="Calibri"/>
      <family val="2"/>
      <scheme val="minor"/>
    </font>
    <font>
      <b/>
      <sz val="14"/>
      <color rgb="FFFFFFFF"/>
      <name val="Arial"/>
      <family val="2"/>
    </font>
    <font>
      <sz val="11"/>
      <color rgb="FFFFFFFF"/>
      <name val="Arial"/>
      <family val="2"/>
    </font>
    <font>
      <b/>
      <sz val="11"/>
      <color rgb="FF2F3E4E"/>
      <name val="Arial"/>
      <family val="2"/>
    </font>
    <font>
      <sz val="11"/>
      <color rgb="FF2F3E4E"/>
      <name val="Arial"/>
      <family val="2"/>
    </font>
    <font>
      <sz val="11"/>
      <color rgb="FF185FA5"/>
      <name val="Arial"/>
      <family val="2"/>
    </font>
    <font>
      <b/>
      <sz val="11"/>
      <color rgb="FFFFFFFF"/>
      <name val="Arial"/>
      <family val="2"/>
    </font>
    <font>
      <b/>
      <sz val="16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rgb="FF185FA5"/>
      <name val="Calibri"/>
      <family val="2"/>
    </font>
    <font>
      <b/>
      <sz val="11"/>
      <color rgb="FF0000FF"/>
      <name val="Calibri"/>
      <family val="2"/>
    </font>
    <font>
      <sz val="10"/>
      <color theme="0"/>
      <name val="Calibri"/>
      <family val="2"/>
    </font>
    <font>
      <b/>
      <sz val="11"/>
      <color rgb="FF2F3E4E"/>
      <name val="Calibri"/>
      <family val="2"/>
    </font>
    <font>
      <b/>
      <sz val="11"/>
      <color rgb="FF1E7A34"/>
      <name val="Calibri"/>
      <family val="2"/>
    </font>
    <font>
      <sz val="11"/>
      <color rgb="FFFFFFFF"/>
      <name val="Calibri"/>
      <family val="2"/>
    </font>
    <font>
      <b/>
      <sz val="10"/>
      <color rgb="FF2F3E4E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</font>
    <font>
      <b/>
      <sz val="11"/>
      <color rgb="FF185FA5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rgb="FFFFFFFF"/>
      <name val="Calibri"/>
      <family val="2"/>
    </font>
    <font>
      <b/>
      <sz val="13"/>
      <color rgb="FF185FA5"/>
      <name val="Calibri"/>
      <family val="2"/>
    </font>
    <font>
      <b/>
      <sz val="12"/>
      <color rgb="FF000000"/>
      <name val="Calibri"/>
      <family val="2"/>
    </font>
    <font>
      <b/>
      <sz val="9"/>
      <color rgb="FF2F3E4E"/>
      <name val="Calibri"/>
      <family val="2"/>
    </font>
    <font>
      <sz val="10"/>
      <color rgb="FF2F3E4E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2F3E4E"/>
        <bgColor indexed="64"/>
      </patternFill>
    </fill>
    <fill>
      <patternFill patternType="solid">
        <fgColor rgb="FF5B7286"/>
        <bgColor indexed="64"/>
      </patternFill>
    </fill>
    <fill>
      <patternFill patternType="solid">
        <fgColor rgb="FFEEF2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3EA"/>
        <bgColor indexed="64"/>
      </patternFill>
    </fill>
    <fill>
      <patternFill patternType="solid">
        <fgColor rgb="FFEEF2F6"/>
      </patternFill>
    </fill>
    <fill>
      <patternFill patternType="solid">
        <fgColor rgb="FFFFFFFF"/>
      </patternFill>
    </fill>
    <fill>
      <patternFill patternType="solid">
        <fgColor rgb="FF5B7286"/>
      </patternFill>
    </fill>
    <fill>
      <patternFill patternType="solid">
        <fgColor rgb="FF2F3E4E"/>
      </patternFill>
    </fill>
    <fill>
      <patternFill patternType="solid">
        <fgColor rgb="FFF7F9FB"/>
      </patternFill>
    </fill>
    <fill>
      <patternFill patternType="solid">
        <fgColor rgb="FF9DB0BF"/>
        <bgColor indexed="64"/>
      </patternFill>
    </fill>
    <fill>
      <patternFill patternType="solid">
        <fgColor rgb="FFFCEFD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A"/>
      </patternFill>
    </fill>
    <fill>
      <patternFill patternType="solid">
        <fgColor rgb="FFDCE3EA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medium">
        <color rgb="FF2F3E4E"/>
      </left>
      <right style="thin">
        <color theme="9"/>
      </right>
      <top style="thin">
        <color theme="9"/>
      </top>
      <bottom/>
      <diagonal/>
    </border>
    <border>
      <left style="medium">
        <color rgb="FF2F3E4E"/>
      </left>
      <right style="thin">
        <color rgb="FFC7D2DD"/>
      </right>
      <top style="thin">
        <color rgb="FFC7D2DD"/>
      </top>
      <bottom style="thin">
        <color rgb="FFC7D2DD"/>
      </bottom>
      <diagonal/>
    </border>
    <border>
      <left style="medium">
        <color rgb="FF2F3E4E"/>
      </left>
      <right style="thin">
        <color theme="9"/>
      </right>
      <top/>
      <bottom/>
      <diagonal/>
    </border>
    <border>
      <left style="medium">
        <color rgb="FF2F3E4E"/>
      </left>
      <right/>
      <top/>
      <bottom/>
      <diagonal/>
    </border>
    <border>
      <left style="thin">
        <color theme="9"/>
      </left>
      <right style="medium">
        <color rgb="FF2F3E4E"/>
      </right>
      <top style="thin">
        <color theme="9"/>
      </top>
      <bottom/>
      <diagonal/>
    </border>
    <border>
      <left style="medium">
        <color rgb="FF2F3E4E"/>
      </left>
      <right style="thin">
        <color theme="9"/>
      </right>
      <top style="medium">
        <color rgb="FF2F3E4E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medium">
        <color rgb="FF2F3E4E"/>
      </top>
      <bottom style="thin">
        <color theme="9"/>
      </bottom>
      <diagonal/>
    </border>
    <border>
      <left style="thin">
        <color theme="9"/>
      </left>
      <right style="medium">
        <color rgb="FF2F3E4E"/>
      </right>
      <top style="medium">
        <color rgb="FF2F3E4E"/>
      </top>
      <bottom style="thin">
        <color theme="9"/>
      </bottom>
      <diagonal/>
    </border>
    <border>
      <left style="medium">
        <color rgb="FF2F3E4E"/>
      </left>
      <right/>
      <top/>
      <bottom style="medium">
        <color rgb="FF2F3E4E"/>
      </bottom>
      <diagonal/>
    </border>
    <border>
      <left/>
      <right/>
      <top/>
      <bottom style="medium">
        <color rgb="FF2F3E4E"/>
      </bottom>
      <diagonal/>
    </border>
    <border>
      <left style="medium">
        <color rgb="FF2F3E4E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rgb="FF2F3E4E"/>
      </right>
      <top style="medium">
        <color theme="1"/>
      </top>
      <bottom/>
      <diagonal/>
    </border>
    <border>
      <left/>
      <right/>
      <top/>
      <bottom style="thick">
        <color theme="1"/>
      </bottom>
      <diagonal/>
    </border>
    <border>
      <left style="medium">
        <color rgb="FF2F3E4E"/>
      </left>
      <right/>
      <top style="medium">
        <color rgb="FF2F3E4E"/>
      </top>
      <bottom style="thin">
        <color rgb="FFC7D2DD"/>
      </bottom>
      <diagonal/>
    </border>
    <border>
      <left/>
      <right style="thin">
        <color rgb="FFC7D2DD"/>
      </right>
      <top style="medium">
        <color rgb="FF2F3E4E"/>
      </top>
      <bottom style="thin">
        <color rgb="FFC7D2DD"/>
      </bottom>
      <diagonal/>
    </border>
    <border>
      <left style="medium">
        <color rgb="FF2F3E4E"/>
      </left>
      <right/>
      <top style="thin">
        <color rgb="FFC7D2DD"/>
      </top>
      <bottom style="thin">
        <color rgb="FFC7D2DD"/>
      </bottom>
      <diagonal/>
    </border>
    <border>
      <left/>
      <right style="thin">
        <color rgb="FFC7D2DD"/>
      </right>
      <top style="thin">
        <color rgb="FFC7D2DD"/>
      </top>
      <bottom style="thin">
        <color rgb="FFC7D2DD"/>
      </bottom>
      <diagonal/>
    </border>
    <border>
      <left style="thin">
        <color rgb="FFC7D2DD"/>
      </left>
      <right style="thin">
        <color rgb="FFC7D2DD"/>
      </right>
      <top style="medium">
        <color rgb="FF2F3E4E"/>
      </top>
      <bottom style="thin">
        <color rgb="FFC7D2DD"/>
      </bottom>
      <diagonal/>
    </border>
    <border>
      <left style="thin">
        <color rgb="FFC7D2DD"/>
      </left>
      <right style="thin">
        <color rgb="FFC7D2DD"/>
      </right>
      <top style="thin">
        <color rgb="FFC7D2DD"/>
      </top>
      <bottom style="thin">
        <color rgb="FFC7D2DD"/>
      </bottom>
      <diagonal/>
    </border>
    <border>
      <left style="medium">
        <color rgb="FF2F3E4E"/>
      </left>
      <right/>
      <top style="thin">
        <color rgb="FFC7D2DD"/>
      </top>
      <bottom/>
      <diagonal/>
    </border>
    <border>
      <left/>
      <right style="thin">
        <color rgb="FFC7D2DD"/>
      </right>
      <top style="thin">
        <color rgb="FFC7D2DD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C7D2DD"/>
      </left>
      <right style="thin">
        <color rgb="FFC7D2DD"/>
      </right>
      <top style="thin">
        <color rgb="FFC7D2DD"/>
      </top>
      <bottom/>
      <diagonal/>
    </border>
    <border>
      <left style="medium">
        <color rgb="FF2F3E4E"/>
      </left>
      <right style="thin">
        <color rgb="FFDCE3EA"/>
      </right>
      <top style="thin">
        <color rgb="FFDCE3EA"/>
      </top>
      <bottom style="thin">
        <color rgb="FFDCE3EA"/>
      </bottom>
      <diagonal/>
    </border>
    <border>
      <left style="thin">
        <color rgb="FFDCE3EA"/>
      </left>
      <right style="thin">
        <color rgb="FFDCE3EA"/>
      </right>
      <top style="thin">
        <color rgb="FFDCE3EA"/>
      </top>
      <bottom style="thin">
        <color rgb="FFDCE3EA"/>
      </bottom>
      <diagonal/>
    </border>
    <border>
      <left style="thin">
        <color rgb="FFDCE3EA"/>
      </left>
      <right style="medium">
        <color rgb="FF2F3E4E"/>
      </right>
      <top style="thin">
        <color rgb="FFDCE3EA"/>
      </top>
      <bottom style="thin">
        <color rgb="FFDCE3EA"/>
      </bottom>
      <diagonal/>
    </border>
    <border>
      <left/>
      <right style="thin">
        <color rgb="FFDCE3EA"/>
      </right>
      <top style="thin">
        <color rgb="FFDCE3EA"/>
      </top>
      <bottom/>
      <diagonal/>
    </border>
    <border>
      <left/>
      <right style="thin">
        <color rgb="FFDCE3EA"/>
      </right>
      <top/>
      <bottom/>
      <diagonal/>
    </border>
    <border>
      <left style="thin">
        <color rgb="FFDCE3EA"/>
      </left>
      <right style="thin">
        <color rgb="FFDCE3EA"/>
      </right>
      <top style="thin">
        <color rgb="FFDCE3EA"/>
      </top>
      <bottom/>
      <diagonal/>
    </border>
    <border>
      <left style="thin">
        <color rgb="FFDCE3EA"/>
      </left>
      <right style="thin">
        <color rgb="FFDCE3EA"/>
      </right>
      <top/>
      <bottom/>
      <diagonal/>
    </border>
    <border>
      <left style="thin">
        <color rgb="FFDCE3EA"/>
      </left>
      <right style="thin">
        <color rgb="FFDCE3EA"/>
      </right>
      <top/>
      <bottom style="thin">
        <color rgb="FFDCE3EA"/>
      </bottom>
      <diagonal/>
    </border>
    <border>
      <left style="thin">
        <color rgb="FFDCE3EA"/>
      </left>
      <right style="thin">
        <color rgb="FFDCE3EA"/>
      </right>
      <top/>
      <bottom style="thick">
        <color theme="1"/>
      </bottom>
      <diagonal/>
    </border>
    <border>
      <left style="thin">
        <color rgb="FFC7D2DD"/>
      </left>
      <right/>
      <top style="thin">
        <color rgb="FFC7D2DD"/>
      </top>
      <bottom style="thin">
        <color rgb="FFC7D2DD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n">
        <color rgb="FFDCE3EA"/>
      </left>
      <right/>
      <top style="thin">
        <color rgb="FFDCE3EA"/>
      </top>
      <bottom style="thin">
        <color rgb="FFDCE3EA"/>
      </bottom>
      <diagonal/>
    </border>
    <border>
      <left/>
      <right style="thin">
        <color rgb="FFDCE3EA"/>
      </right>
      <top style="thin">
        <color rgb="FFDCE3EA"/>
      </top>
      <bottom style="thin">
        <color rgb="FFDCE3EA"/>
      </bottom>
      <diagonal/>
    </border>
    <border>
      <left style="thin">
        <color rgb="FFDCE3EA"/>
      </left>
      <right/>
      <top/>
      <bottom/>
      <diagonal/>
    </border>
    <border>
      <left style="thin">
        <color rgb="FFDCE3EA"/>
      </left>
      <right/>
      <top/>
      <bottom style="thick">
        <color theme="1"/>
      </bottom>
      <diagonal/>
    </border>
    <border>
      <left/>
      <right style="thin">
        <color rgb="FFDCE3EA"/>
      </right>
      <top/>
      <bottom style="thick">
        <color theme="1"/>
      </bottom>
      <diagonal/>
    </border>
    <border>
      <left style="thin">
        <color rgb="FFC7D2DD"/>
      </left>
      <right style="thin">
        <color rgb="FFC7D2DD"/>
      </right>
      <top/>
      <bottom style="thin">
        <color rgb="FFC7D2DD"/>
      </bottom>
      <diagonal/>
    </border>
    <border>
      <left/>
      <right/>
      <top style="thin">
        <color rgb="FFC7D2DD"/>
      </top>
      <bottom/>
      <diagonal/>
    </border>
    <border>
      <left style="thin">
        <color rgb="FFC7D2DD"/>
      </left>
      <right/>
      <top/>
      <bottom/>
      <diagonal/>
    </border>
    <border>
      <left style="thin">
        <color rgb="FFC7D2DD"/>
      </left>
      <right style="medium">
        <color indexed="64"/>
      </right>
      <top style="thin">
        <color rgb="FFC7D2DD"/>
      </top>
      <bottom/>
      <diagonal/>
    </border>
    <border>
      <left style="thin">
        <color rgb="FFC7D2DD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C7D2DD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C7D2DD"/>
      </bottom>
      <diagonal/>
    </border>
    <border>
      <left style="thin">
        <color rgb="FFC7D2DD"/>
      </left>
      <right style="thin">
        <color rgb="FFC7D2DD"/>
      </right>
      <top/>
      <bottom style="medium">
        <color indexed="64"/>
      </bottom>
      <diagonal/>
    </border>
    <border>
      <left style="thin">
        <color rgb="FFC7D2DD"/>
      </left>
      <right/>
      <top style="thin">
        <color rgb="FFC7D2DD"/>
      </top>
      <bottom/>
      <diagonal/>
    </border>
    <border>
      <left/>
      <right/>
      <top style="thin">
        <color rgb="FFC7D2DD"/>
      </top>
      <bottom style="thin">
        <color rgb="FFC7D2DD"/>
      </bottom>
      <diagonal/>
    </border>
    <border>
      <left style="thin">
        <color rgb="FFC7D2DD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C7D2DD"/>
      </left>
      <right/>
      <top/>
      <bottom style="thin">
        <color rgb="FFC7D2DD"/>
      </bottom>
      <diagonal/>
    </border>
    <border>
      <left/>
      <right/>
      <top/>
      <bottom style="thin">
        <color rgb="FFC7D2DD"/>
      </bottom>
      <diagonal/>
    </border>
    <border>
      <left/>
      <right style="thin">
        <color rgb="FFC7D2DD"/>
      </right>
      <top/>
      <bottom style="thin">
        <color rgb="FFC7D2DD"/>
      </bottom>
      <diagonal/>
    </border>
    <border>
      <left style="medium">
        <color indexed="64"/>
      </left>
      <right style="thin">
        <color rgb="FFC7D2DD"/>
      </right>
      <top style="thin">
        <color rgb="FFC7D2DD"/>
      </top>
      <bottom/>
      <diagonal/>
    </border>
    <border>
      <left style="medium">
        <color indexed="64"/>
      </left>
      <right style="thin">
        <color rgb="FFC7D2DD"/>
      </right>
      <top/>
      <bottom style="thin">
        <color rgb="FFC7D2DD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rgb="FFC7D2DD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C7D2DD"/>
      </left>
      <right style="thin">
        <color indexed="64"/>
      </right>
      <top style="thin">
        <color rgb="FFC7D2DD"/>
      </top>
      <bottom/>
      <diagonal/>
    </border>
    <border>
      <left style="thin">
        <color rgb="FFC7D2DD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C7D2DD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C7D2DD"/>
      </bottom>
      <diagonal/>
    </border>
    <border>
      <left style="thin">
        <color rgb="FFC7D2DD"/>
      </left>
      <right/>
      <top style="thin">
        <color rgb="FFC7D2DD"/>
      </top>
      <bottom style="thin">
        <color indexed="64"/>
      </bottom>
      <diagonal/>
    </border>
    <border>
      <left/>
      <right/>
      <top style="thin">
        <color rgb="FFC7D2DD"/>
      </top>
      <bottom style="thin">
        <color indexed="64"/>
      </bottom>
      <diagonal/>
    </border>
    <border>
      <left/>
      <right style="thin">
        <color rgb="FFC7D2DD"/>
      </right>
      <top style="thin">
        <color rgb="FFC7D2DD"/>
      </top>
      <bottom style="thin">
        <color indexed="64"/>
      </bottom>
      <diagonal/>
    </border>
    <border>
      <left/>
      <right style="thin">
        <color rgb="FFC7D2DD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C7D2DD"/>
      </top>
      <bottom/>
      <diagonal/>
    </border>
    <border>
      <left/>
      <right style="thin">
        <color indexed="64"/>
      </right>
      <top/>
      <bottom style="thin">
        <color rgb="FFC7D2DD"/>
      </bottom>
      <diagonal/>
    </border>
    <border>
      <left style="thin">
        <color rgb="FFC7D2DD"/>
      </left>
      <right/>
      <top style="thin">
        <color indexed="64"/>
      </top>
      <bottom style="thin">
        <color rgb="FFC7D2DD"/>
      </bottom>
      <diagonal/>
    </border>
    <border>
      <left/>
      <right/>
      <top style="thin">
        <color indexed="64"/>
      </top>
      <bottom style="thin">
        <color rgb="FFC7D2DD"/>
      </bottom>
      <diagonal/>
    </border>
    <border>
      <left/>
      <right style="thin">
        <color indexed="64"/>
      </right>
      <top style="thin">
        <color indexed="64"/>
      </top>
      <bottom style="thin">
        <color rgb="FFC7D2DD"/>
      </bottom>
      <diagonal/>
    </border>
    <border>
      <left style="thin">
        <color indexed="64"/>
      </left>
      <right/>
      <top style="thin">
        <color indexed="64"/>
      </top>
      <bottom style="thin">
        <color rgb="FFC7D2DD"/>
      </bottom>
      <diagonal/>
    </border>
    <border>
      <left/>
      <right style="thin">
        <color rgb="FFC7D2DD"/>
      </right>
      <top style="thin">
        <color indexed="64"/>
      </top>
      <bottom style="thin">
        <color rgb="FFC7D2DD"/>
      </bottom>
      <diagonal/>
    </border>
    <border>
      <left/>
      <right style="thin">
        <color rgb="FFC7D2DD"/>
      </right>
      <top/>
      <bottom/>
      <diagonal/>
    </border>
    <border>
      <left style="thin">
        <color rgb="FFC7D2DD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rgb="FFC7D2DD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C7D2DD"/>
      </top>
      <bottom style="thin">
        <color indexed="64"/>
      </bottom>
      <diagonal/>
    </border>
    <border>
      <left style="thin">
        <color theme="9"/>
      </left>
      <right/>
      <top/>
      <bottom/>
      <diagonal/>
    </border>
  </borders>
  <cellStyleXfs count="1">
    <xf numFmtId="0" fontId="0" fillId="0" borderId="0"/>
  </cellStyleXfs>
  <cellXfs count="286">
    <xf numFmtId="0" fontId="0" fillId="0" borderId="0" xfId="0"/>
    <xf numFmtId="0" fontId="0" fillId="5" borderId="0" xfId="0" applyFill="1"/>
    <xf numFmtId="0" fontId="0" fillId="0" borderId="0" xfId="0" applyProtection="1">
      <protection hidden="1"/>
    </xf>
    <xf numFmtId="0" fontId="21" fillId="17" borderId="40" xfId="0" applyFont="1" applyFill="1" applyBorder="1" applyAlignment="1" applyProtection="1">
      <alignment horizontal="center" vertical="center"/>
      <protection locked="0"/>
    </xf>
    <xf numFmtId="0" fontId="21" fillId="20" borderId="40" xfId="0" applyFont="1" applyFill="1" applyBorder="1" applyAlignment="1" applyProtection="1">
      <alignment horizontal="center" vertical="center"/>
      <protection locked="0"/>
    </xf>
    <xf numFmtId="0" fontId="26" fillId="11" borderId="49" xfId="0" applyFont="1" applyFill="1" applyBorder="1" applyAlignment="1" applyProtection="1">
      <alignment horizontal="center" vertical="center" wrapText="1" readingOrder="1"/>
      <protection hidden="1"/>
    </xf>
    <xf numFmtId="0" fontId="21" fillId="17" borderId="40" xfId="0" applyFont="1" applyFill="1" applyBorder="1" applyAlignment="1" applyProtection="1">
      <alignment horizontal="right" vertical="center" indent="1"/>
      <protection locked="0"/>
    </xf>
    <xf numFmtId="0" fontId="21" fillId="20" borderId="40" xfId="0" applyFont="1" applyFill="1" applyBorder="1" applyAlignment="1" applyProtection="1">
      <alignment horizontal="right" vertical="center" indent="1"/>
      <protection locked="0"/>
    </xf>
    <xf numFmtId="0" fontId="28" fillId="17" borderId="40" xfId="0" applyFont="1" applyFill="1" applyBorder="1" applyAlignment="1" applyProtection="1">
      <alignment horizontal="center" vertical="center"/>
      <protection locked="0"/>
    </xf>
    <xf numFmtId="0" fontId="28" fillId="17" borderId="50" xfId="0" applyFont="1" applyFill="1" applyBorder="1" applyAlignment="1" applyProtection="1">
      <alignment horizontal="center" vertical="center"/>
      <protection locked="0"/>
    </xf>
    <xf numFmtId="0" fontId="28" fillId="20" borderId="40" xfId="0" applyFont="1" applyFill="1" applyBorder="1" applyAlignment="1" applyProtection="1">
      <alignment horizontal="center" vertical="center"/>
      <protection locked="0"/>
    </xf>
    <xf numFmtId="0" fontId="28" fillId="20" borderId="50" xfId="0" applyFont="1" applyFill="1" applyBorder="1" applyAlignment="1" applyProtection="1">
      <alignment horizontal="center" vertical="center"/>
      <protection locked="0"/>
    </xf>
    <xf numFmtId="0" fontId="28" fillId="17" borderId="51" xfId="0" applyFont="1" applyFill="1" applyBorder="1" applyAlignment="1" applyProtection="1">
      <alignment horizontal="center" vertical="center"/>
      <protection locked="0"/>
    </xf>
    <xf numFmtId="0" fontId="28" fillId="17" borderId="41" xfId="0" applyFont="1" applyFill="1" applyBorder="1" applyAlignment="1" applyProtection="1">
      <alignment horizontal="center" vertical="center"/>
      <protection locked="0"/>
    </xf>
    <xf numFmtId="0" fontId="28" fillId="20" borderId="51" xfId="0" applyFont="1" applyFill="1" applyBorder="1" applyAlignment="1" applyProtection="1">
      <alignment horizontal="center" vertical="center"/>
      <protection locked="0"/>
    </xf>
    <xf numFmtId="0" fontId="28" fillId="20" borderId="41" xfId="0" applyFont="1" applyFill="1" applyBorder="1" applyAlignment="1" applyProtection="1">
      <alignment horizontal="center" vertical="center"/>
      <protection locked="0"/>
    </xf>
    <xf numFmtId="0" fontId="44" fillId="19" borderId="32" xfId="0" applyFont="1" applyFill="1" applyBorder="1" applyAlignment="1">
      <alignment horizontal="center" vertical="center"/>
    </xf>
    <xf numFmtId="0" fontId="45" fillId="17" borderId="32" xfId="0" applyFont="1" applyFill="1" applyBorder="1" applyAlignment="1">
      <alignment horizontal="center" vertical="center"/>
    </xf>
    <xf numFmtId="0" fontId="48" fillId="16" borderId="32" xfId="0" applyFont="1" applyFill="1" applyBorder="1" applyAlignment="1">
      <alignment horizontal="center" vertical="center"/>
    </xf>
    <xf numFmtId="0" fontId="25" fillId="17" borderId="32" xfId="0" applyFont="1" applyFill="1" applyBorder="1" applyAlignment="1">
      <alignment horizontal="center" vertical="center"/>
    </xf>
    <xf numFmtId="0" fontId="45" fillId="20" borderId="32" xfId="0" applyFont="1" applyFill="1" applyBorder="1" applyAlignment="1">
      <alignment horizontal="center" vertical="center"/>
    </xf>
    <xf numFmtId="9" fontId="10" fillId="4" borderId="2" xfId="0" applyNumberFormat="1" applyFont="1" applyFill="1" applyBorder="1" applyAlignment="1" applyProtection="1">
      <alignment horizontal="center" vertical="center"/>
      <protection locked="0"/>
    </xf>
    <xf numFmtId="9" fontId="52" fillId="4" borderId="2" xfId="0" applyNumberFormat="1" applyFont="1" applyFill="1" applyBorder="1" applyAlignment="1" applyProtection="1">
      <alignment horizontal="center" vertical="center"/>
      <protection locked="0"/>
    </xf>
    <xf numFmtId="0" fontId="25" fillId="17" borderId="32" xfId="0" applyFont="1" applyFill="1" applyBorder="1" applyAlignment="1" applyProtection="1">
      <alignment horizontal="left" vertical="center" wrapText="1" indent="1"/>
      <protection locked="0"/>
    </xf>
    <xf numFmtId="0" fontId="25" fillId="20" borderId="32" xfId="0" applyFont="1" applyFill="1" applyBorder="1" applyAlignment="1" applyProtection="1">
      <alignment horizontal="left" vertical="center" wrapText="1" indent="1"/>
      <protection locked="0"/>
    </xf>
    <xf numFmtId="0" fontId="46" fillId="16" borderId="32" xfId="0" applyFont="1" applyFill="1" applyBorder="1" applyAlignment="1" applyProtection="1">
      <alignment horizontal="center" vertical="center"/>
      <protection locked="0"/>
    </xf>
    <xf numFmtId="0" fontId="48" fillId="17" borderId="32" xfId="0" applyFont="1" applyFill="1" applyBorder="1" applyAlignment="1" applyProtection="1">
      <alignment horizontal="center" vertical="center"/>
      <protection locked="0"/>
    </xf>
    <xf numFmtId="0" fontId="48" fillId="20" borderId="32" xfId="0" applyFont="1" applyFill="1" applyBorder="1" applyAlignment="1" applyProtection="1">
      <alignment horizontal="center" vertical="center"/>
      <protection locked="0"/>
    </xf>
    <xf numFmtId="9" fontId="48" fillId="20" borderId="32" xfId="0" applyNumberFormat="1" applyFont="1" applyFill="1" applyBorder="1" applyAlignment="1" applyProtection="1">
      <alignment horizontal="center" vertical="center"/>
      <protection locked="0"/>
    </xf>
    <xf numFmtId="9" fontId="46" fillId="20" borderId="32" xfId="0" applyNumberFormat="1" applyFont="1" applyFill="1" applyBorder="1" applyAlignment="1" applyProtection="1">
      <alignment horizontal="center" vertical="center"/>
      <protection locked="0"/>
    </xf>
    <xf numFmtId="0" fontId="45" fillId="16" borderId="32" xfId="0" applyFont="1" applyFill="1" applyBorder="1" applyAlignment="1" applyProtection="1">
      <alignment horizontal="center" vertical="center"/>
      <protection locked="0"/>
    </xf>
    <xf numFmtId="0" fontId="53" fillId="17" borderId="32" xfId="0" applyFont="1" applyFill="1" applyBorder="1" applyAlignment="1" applyProtection="1">
      <alignment horizontal="center" vertical="center"/>
      <protection locked="0"/>
    </xf>
    <xf numFmtId="0" fontId="54" fillId="14" borderId="32" xfId="0" applyFont="1" applyFill="1" applyBorder="1" applyAlignment="1" applyProtection="1">
      <alignment horizontal="left" vertical="center"/>
      <protection locked="0"/>
    </xf>
    <xf numFmtId="0" fontId="49" fillId="24" borderId="32" xfId="0" applyFont="1" applyFill="1" applyBorder="1" applyAlignment="1">
      <alignment horizontal="center" vertical="center"/>
    </xf>
    <xf numFmtId="0" fontId="45" fillId="16" borderId="32" xfId="0" applyFont="1" applyFill="1" applyBorder="1" applyAlignment="1">
      <alignment horizontal="center" vertical="center"/>
    </xf>
    <xf numFmtId="0" fontId="49" fillId="24" borderId="38" xfId="0" applyFont="1" applyFill="1" applyBorder="1" applyAlignment="1">
      <alignment horizontal="center" vertical="center"/>
    </xf>
    <xf numFmtId="0" fontId="25" fillId="17" borderId="32" xfId="0" applyFont="1" applyFill="1" applyBorder="1" applyAlignment="1" applyProtection="1">
      <alignment horizontal="center" vertical="center"/>
      <protection locked="0"/>
    </xf>
    <xf numFmtId="0" fontId="25" fillId="20" borderId="32" xfId="0" applyFont="1" applyFill="1" applyBorder="1" applyAlignment="1" applyProtection="1">
      <alignment horizontal="center" vertical="center"/>
      <protection locked="0"/>
    </xf>
    <xf numFmtId="0" fontId="25" fillId="17" borderId="32" xfId="0" applyFont="1" applyFill="1" applyBorder="1" applyAlignment="1" applyProtection="1">
      <alignment horizontal="left" vertical="center" indent="1"/>
      <protection locked="0"/>
    </xf>
    <xf numFmtId="0" fontId="25" fillId="20" borderId="32" xfId="0" applyFont="1" applyFill="1" applyBorder="1" applyAlignment="1" applyProtection="1">
      <alignment horizontal="left" vertical="center" indent="1"/>
      <protection locked="0"/>
    </xf>
    <xf numFmtId="0" fontId="58" fillId="17" borderId="55" xfId="0" applyFont="1" applyFill="1" applyBorder="1" applyAlignment="1" applyProtection="1">
      <alignment horizontal="center" vertical="center"/>
      <protection locked="0"/>
    </xf>
    <xf numFmtId="0" fontId="57" fillId="18" borderId="32" xfId="0" applyFont="1" applyFill="1" applyBorder="1" applyAlignment="1" applyProtection="1">
      <alignment horizontal="center" vertical="center" wrapText="1"/>
      <protection locked="0"/>
    </xf>
    <xf numFmtId="0" fontId="29" fillId="17" borderId="38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 applyProtection="1">
      <alignment horizontal="center" vertical="center"/>
      <protection hidden="1"/>
    </xf>
    <xf numFmtId="0" fontId="14" fillId="4" borderId="0" xfId="0" applyFont="1" applyFill="1" applyAlignment="1" applyProtection="1">
      <alignment horizontal="center" vertical="center"/>
      <protection hidden="1"/>
    </xf>
    <xf numFmtId="0" fontId="44" fillId="18" borderId="3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6" fillId="17" borderId="32" xfId="0" applyFont="1" applyFill="1" applyBorder="1" applyAlignment="1" applyProtection="1">
      <alignment horizontal="center" vertical="center"/>
      <protection locked="0"/>
    </xf>
    <xf numFmtId="0" fontId="0" fillId="10" borderId="0" xfId="0" applyFill="1"/>
    <xf numFmtId="0" fontId="32" fillId="13" borderId="14" xfId="0" applyFont="1" applyFill="1" applyBorder="1" applyAlignment="1">
      <alignment horizontal="left" vertical="center" wrapText="1" indent="1"/>
    </xf>
    <xf numFmtId="0" fontId="0" fillId="10" borderId="11" xfId="0" applyFill="1" applyBorder="1"/>
    <xf numFmtId="0" fontId="8" fillId="15" borderId="15" xfId="0" applyFont="1" applyFill="1" applyBorder="1" applyAlignment="1">
      <alignment horizontal="left" vertical="center"/>
    </xf>
    <xf numFmtId="0" fontId="0" fillId="15" borderId="9" xfId="0" applyFill="1" applyBorder="1"/>
    <xf numFmtId="0" fontId="0" fillId="10" borderId="12" xfId="0" applyFill="1" applyBorder="1"/>
    <xf numFmtId="0" fontId="31" fillId="14" borderId="48" xfId="0" applyFont="1" applyFill="1" applyBorder="1" applyAlignment="1" applyProtection="1">
      <alignment horizontal="left" vertical="center"/>
      <protection locked="0"/>
    </xf>
    <xf numFmtId="0" fontId="31" fillId="15" borderId="96" xfId="0" applyFont="1" applyFill="1" applyBorder="1" applyAlignment="1" applyProtection="1">
      <alignment horizontal="left" vertical="center"/>
      <protection locked="0"/>
    </xf>
    <xf numFmtId="0" fontId="17" fillId="4" borderId="1" xfId="0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left" vertical="center"/>
    </xf>
    <xf numFmtId="0" fontId="44" fillId="19" borderId="32" xfId="0" applyFont="1" applyFill="1" applyBorder="1" applyAlignment="1">
      <alignment vertical="center"/>
    </xf>
    <xf numFmtId="0" fontId="48" fillId="17" borderId="32" xfId="0" applyFont="1" applyFill="1" applyBorder="1" applyAlignment="1">
      <alignment horizontal="center" vertical="center"/>
    </xf>
    <xf numFmtId="0" fontId="44" fillId="18" borderId="32" xfId="0" applyFont="1" applyFill="1" applyBorder="1" applyAlignment="1">
      <alignment horizontal="left" vertical="center" indent="1"/>
    </xf>
    <xf numFmtId="0" fontId="50" fillId="18" borderId="32" xfId="0" applyFont="1" applyFill="1" applyBorder="1" applyAlignment="1">
      <alignment horizontal="center" vertical="center"/>
    </xf>
    <xf numFmtId="0" fontId="51" fillId="16" borderId="32" xfId="0" applyFont="1" applyFill="1" applyBorder="1" applyAlignment="1">
      <alignment horizontal="center" vertical="center"/>
    </xf>
    <xf numFmtId="9" fontId="10" fillId="4" borderId="2" xfId="0" applyNumberFormat="1" applyFont="1" applyFill="1" applyBorder="1" applyAlignment="1">
      <alignment horizontal="center" vertical="center"/>
    </xf>
    <xf numFmtId="9" fontId="52" fillId="4" borderId="2" xfId="0" applyNumberFormat="1" applyFont="1" applyFill="1" applyBorder="1" applyAlignment="1">
      <alignment horizontal="center" vertical="center"/>
    </xf>
    <xf numFmtId="0" fontId="10" fillId="5" borderId="0" xfId="0" applyFont="1" applyFill="1"/>
    <xf numFmtId="9" fontId="48" fillId="20" borderId="32" xfId="0" applyNumberFormat="1" applyFont="1" applyFill="1" applyBorder="1" applyAlignment="1">
      <alignment horizontal="center" vertical="center"/>
    </xf>
    <xf numFmtId="9" fontId="46" fillId="20" borderId="32" xfId="0" applyNumberFormat="1" applyFont="1" applyFill="1" applyBorder="1" applyAlignment="1">
      <alignment horizontal="center" vertical="center"/>
    </xf>
    <xf numFmtId="0" fontId="25" fillId="24" borderId="32" xfId="0" applyFont="1" applyFill="1" applyBorder="1" applyAlignment="1">
      <alignment horizontal="center" vertical="center"/>
    </xf>
    <xf numFmtId="0" fontId="25" fillId="24" borderId="38" xfId="0" applyFont="1" applyFill="1" applyBorder="1" applyAlignment="1">
      <alignment horizontal="center" vertical="center"/>
    </xf>
    <xf numFmtId="0" fontId="48" fillId="16" borderId="55" xfId="0" applyFont="1" applyFill="1" applyBorder="1" applyAlignment="1">
      <alignment vertical="center"/>
    </xf>
    <xf numFmtId="0" fontId="0" fillId="0" borderId="0" xfId="0" applyAlignment="1">
      <alignment wrapText="1"/>
    </xf>
    <xf numFmtId="0" fontId="10" fillId="0" borderId="73" xfId="0" applyFont="1" applyBorder="1" applyAlignment="1" applyProtection="1">
      <alignment horizontal="center" vertical="center" readingOrder="1"/>
      <protection locked="0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horizontal="center"/>
    </xf>
    <xf numFmtId="0" fontId="45" fillId="25" borderId="32" xfId="0" applyFont="1" applyFill="1" applyBorder="1" applyAlignment="1">
      <alignment horizontal="center" vertical="center"/>
    </xf>
    <xf numFmtId="0" fontId="6" fillId="6" borderId="0" xfId="0" applyFont="1" applyFill="1"/>
    <xf numFmtId="0" fontId="45" fillId="16" borderId="38" xfId="0" applyFont="1" applyFill="1" applyBorder="1" applyAlignment="1">
      <alignment horizontal="center" vertical="center"/>
    </xf>
    <xf numFmtId="0" fontId="25" fillId="17" borderId="38" xfId="0" applyFont="1" applyFill="1" applyBorder="1" applyAlignment="1">
      <alignment horizontal="center" vertical="center"/>
    </xf>
    <xf numFmtId="1" fontId="6" fillId="4" borderId="0" xfId="0" applyNumberFormat="1" applyFont="1" applyFill="1"/>
    <xf numFmtId="0" fontId="0" fillId="4" borderId="0" xfId="0" applyFill="1"/>
    <xf numFmtId="0" fontId="0" fillId="8" borderId="1" xfId="0" applyFill="1" applyBorder="1"/>
    <xf numFmtId="0" fontId="0" fillId="6" borderId="0" xfId="0" applyFill="1"/>
    <xf numFmtId="0" fontId="15" fillId="4" borderId="0" xfId="0" applyFont="1" applyFill="1"/>
    <xf numFmtId="0" fontId="14" fillId="4" borderId="0" xfId="0" applyFont="1" applyFill="1" applyAlignment="1">
      <alignment horizontal="center" vertical="center"/>
    </xf>
    <xf numFmtId="0" fontId="44" fillId="19" borderId="95" xfId="0" applyFont="1" applyFill="1" applyBorder="1" applyAlignment="1">
      <alignment horizontal="center" vertical="center"/>
    </xf>
    <xf numFmtId="0" fontId="44" fillId="19" borderId="82" xfId="0" applyFont="1" applyFill="1" applyBorder="1" applyAlignment="1">
      <alignment vertical="center"/>
    </xf>
    <xf numFmtId="0" fontId="3" fillId="4" borderId="0" xfId="0" applyFont="1" applyFill="1" applyAlignment="1">
      <alignment horizontal="center" vertical="center" wrapText="1" readingOrder="2"/>
    </xf>
    <xf numFmtId="0" fontId="25" fillId="17" borderId="32" xfId="0" applyFont="1" applyFill="1" applyBorder="1" applyAlignment="1">
      <alignment horizontal="left" vertical="center"/>
    </xf>
    <xf numFmtId="1" fontId="3" fillId="4" borderId="0" xfId="0" applyNumberFormat="1" applyFont="1" applyFill="1" applyAlignment="1">
      <alignment horizontal="center" vertical="center" wrapText="1" readingOrder="2"/>
    </xf>
    <xf numFmtId="0" fontId="25" fillId="20" borderId="32" xfId="0" applyFont="1" applyFill="1" applyBorder="1" applyAlignment="1">
      <alignment horizontal="left" vertical="center"/>
    </xf>
    <xf numFmtId="0" fontId="35" fillId="0" borderId="0" xfId="0" applyFont="1" applyAlignment="1">
      <alignment horizontal="right" vertical="center"/>
    </xf>
    <xf numFmtId="0" fontId="33" fillId="11" borderId="32" xfId="0" applyFont="1" applyFill="1" applyBorder="1" applyAlignment="1">
      <alignment horizontal="center" vertical="center"/>
    </xf>
    <xf numFmtId="0" fontId="34" fillId="14" borderId="32" xfId="0" applyFont="1" applyFill="1" applyBorder="1" applyAlignment="1">
      <alignment horizontal="center" vertical="center"/>
    </xf>
    <xf numFmtId="164" fontId="34" fillId="14" borderId="32" xfId="0" applyNumberFormat="1" applyFont="1" applyFill="1" applyBorder="1" applyAlignment="1">
      <alignment horizontal="center" vertical="center"/>
    </xf>
    <xf numFmtId="0" fontId="34" fillId="10" borderId="32" xfId="0" applyFont="1" applyFill="1" applyBorder="1" applyAlignment="1">
      <alignment horizontal="center" vertical="center"/>
    </xf>
    <xf numFmtId="164" fontId="34" fillId="10" borderId="32" xfId="0" applyNumberFormat="1" applyFont="1" applyFill="1" applyBorder="1" applyAlignment="1">
      <alignment horizontal="center" vertical="center"/>
    </xf>
    <xf numFmtId="164" fontId="54" fillId="13" borderId="32" xfId="0" applyNumberFormat="1" applyFont="1" applyFill="1" applyBorder="1" applyAlignment="1">
      <alignment horizontal="center"/>
    </xf>
    <xf numFmtId="0" fontId="11" fillId="21" borderId="42" xfId="0" applyFont="1" applyFill="1" applyBorder="1" applyAlignment="1">
      <alignment vertical="center"/>
    </xf>
    <xf numFmtId="0" fontId="0" fillId="2" borderId="0" xfId="0" applyFill="1"/>
    <xf numFmtId="0" fontId="0" fillId="9" borderId="0" xfId="0" applyFill="1"/>
    <xf numFmtId="0" fontId="11" fillId="21" borderId="44" xfId="0" applyFont="1" applyFill="1" applyBorder="1" applyAlignment="1">
      <alignment vertical="center"/>
    </xf>
    <xf numFmtId="0" fontId="30" fillId="5" borderId="0" xfId="0" applyFont="1" applyFill="1" applyAlignment="1">
      <alignment vertical="center"/>
    </xf>
    <xf numFmtId="0" fontId="9" fillId="5" borderId="0" xfId="0" applyFont="1" applyFill="1" applyAlignment="1">
      <alignment horizontal="center" vertical="center"/>
    </xf>
    <xf numFmtId="0" fontId="11" fillId="21" borderId="43" xfId="0" applyFont="1" applyFill="1" applyBorder="1" applyAlignment="1">
      <alignment vertical="center"/>
    </xf>
    <xf numFmtId="0" fontId="11" fillId="21" borderId="45" xfId="0" applyFont="1" applyFill="1" applyBorder="1" applyAlignment="1">
      <alignment vertical="center"/>
    </xf>
    <xf numFmtId="0" fontId="0" fillId="23" borderId="0" xfId="0" applyFill="1"/>
    <xf numFmtId="0" fontId="24" fillId="18" borderId="35" xfId="0" applyFont="1" applyFill="1" applyBorder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1" fontId="5" fillId="9" borderId="0" xfId="0" applyNumberFormat="1" applyFont="1" applyFill="1" applyAlignment="1">
      <alignment horizontal="center" vertical="center"/>
    </xf>
    <xf numFmtId="0" fontId="11" fillId="21" borderId="47" xfId="0" applyFont="1" applyFill="1" applyBorder="1" applyAlignment="1">
      <alignment vertical="center"/>
    </xf>
    <xf numFmtId="0" fontId="24" fillId="19" borderId="14" xfId="0" applyFont="1" applyFill="1" applyBorder="1" applyAlignment="1">
      <alignment horizontal="center" vertical="center" wrapText="1"/>
    </xf>
    <xf numFmtId="0" fontId="24" fillId="19" borderId="32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textRotation="90" wrapText="1" readingOrder="1"/>
    </xf>
    <xf numFmtId="0" fontId="11" fillId="21" borderId="8" xfId="0" applyFont="1" applyFill="1" applyBorder="1" applyAlignment="1">
      <alignment horizontal="center" vertical="center"/>
    </xf>
    <xf numFmtId="0" fontId="29" fillId="16" borderId="30" xfId="0" applyFont="1" applyFill="1" applyBorder="1" applyAlignment="1">
      <alignment horizontal="center" vertical="center"/>
    </xf>
    <xf numFmtId="0" fontId="29" fillId="16" borderId="32" xfId="0" applyFont="1" applyFill="1" applyBorder="1" applyAlignment="1">
      <alignment horizontal="center" vertical="center"/>
    </xf>
    <xf numFmtId="0" fontId="29" fillId="16" borderId="48" xfId="0" applyFont="1" applyFill="1" applyBorder="1" applyAlignment="1">
      <alignment horizontal="center" vertical="center"/>
    </xf>
    <xf numFmtId="0" fontId="28" fillId="17" borderId="51" xfId="0" applyFont="1" applyFill="1" applyBorder="1" applyAlignment="1">
      <alignment horizontal="center" vertical="center"/>
    </xf>
    <xf numFmtId="0" fontId="21" fillId="16" borderId="39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 wrapText="1" readingOrder="2"/>
    </xf>
    <xf numFmtId="0" fontId="11" fillId="17" borderId="51" xfId="0" applyFont="1" applyFill="1" applyBorder="1" applyAlignment="1">
      <alignment horizontal="center" vertical="center"/>
    </xf>
    <xf numFmtId="0" fontId="28" fillId="20" borderId="51" xfId="0" applyFont="1" applyFill="1" applyBorder="1" applyAlignment="1">
      <alignment horizontal="center" vertical="center"/>
    </xf>
    <xf numFmtId="0" fontId="11" fillId="20" borderId="51" xfId="0" applyFont="1" applyFill="1" applyBorder="1" applyAlignment="1">
      <alignment horizontal="center" vertical="center"/>
    </xf>
    <xf numFmtId="1" fontId="8" fillId="4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1" fillId="6" borderId="5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 readingOrder="2"/>
    </xf>
    <xf numFmtId="0" fontId="1" fillId="3" borderId="1" xfId="0" applyFont="1" applyFill="1" applyBorder="1" applyAlignment="1">
      <alignment horizontal="left" vertical="center" wrapText="1" readingOrder="1"/>
    </xf>
    <xf numFmtId="9" fontId="0" fillId="0" borderId="0" xfId="0" applyNumberFormat="1"/>
    <xf numFmtId="0" fontId="42" fillId="18" borderId="32" xfId="0" applyFont="1" applyFill="1" applyBorder="1" applyAlignment="1">
      <alignment horizontal="center" vertical="center"/>
    </xf>
    <xf numFmtId="9" fontId="34" fillId="14" borderId="32" xfId="0" applyNumberFormat="1" applyFont="1" applyFill="1" applyBorder="1" applyAlignment="1">
      <alignment horizontal="center" vertical="center"/>
    </xf>
    <xf numFmtId="9" fontId="34" fillId="10" borderId="32" xfId="0" applyNumberFormat="1" applyFont="1" applyFill="1" applyBorder="1" applyAlignment="1">
      <alignment horizontal="center" vertical="center"/>
    </xf>
    <xf numFmtId="0" fontId="25" fillId="17" borderId="32" xfId="0" applyFont="1" applyFill="1" applyBorder="1" applyAlignment="1">
      <alignment horizontal="left" vertical="center" indent="1"/>
    </xf>
    <xf numFmtId="0" fontId="25" fillId="20" borderId="32" xfId="0" applyFont="1" applyFill="1" applyBorder="1" applyAlignment="1">
      <alignment horizontal="left" vertical="center" indent="1"/>
    </xf>
    <xf numFmtId="0" fontId="60" fillId="16" borderId="32" xfId="0" applyFont="1" applyFill="1" applyBorder="1" applyAlignment="1">
      <alignment horizontal="center" vertical="center" wrapText="1"/>
    </xf>
    <xf numFmtId="0" fontId="23" fillId="17" borderId="31" xfId="0" applyFont="1" applyFill="1" applyBorder="1" applyAlignment="1">
      <alignment horizontal="center" vertical="center"/>
    </xf>
    <xf numFmtId="0" fontId="23" fillId="17" borderId="32" xfId="0" applyFont="1" applyFill="1" applyBorder="1" applyAlignment="1">
      <alignment horizontal="center" vertical="center"/>
    </xf>
    <xf numFmtId="0" fontId="23" fillId="17" borderId="38" xfId="0" applyFont="1" applyFill="1" applyBorder="1" applyAlignment="1">
      <alignment horizontal="center" vertical="center"/>
    </xf>
    <xf numFmtId="0" fontId="25" fillId="17" borderId="40" xfId="0" applyFont="1" applyFill="1" applyBorder="1" applyAlignment="1">
      <alignment horizontal="left" vertical="center"/>
    </xf>
    <xf numFmtId="0" fontId="25" fillId="20" borderId="40" xfId="0" applyFont="1" applyFill="1" applyBorder="1" applyAlignment="1">
      <alignment horizontal="left" vertical="center"/>
    </xf>
    <xf numFmtId="0" fontId="34" fillId="14" borderId="32" xfId="0" applyFont="1" applyFill="1" applyBorder="1" applyAlignment="1">
      <alignment horizontal="left" vertical="center" indent="1"/>
    </xf>
    <xf numFmtId="0" fontId="34" fillId="10" borderId="32" xfId="0" applyFont="1" applyFill="1" applyBorder="1" applyAlignment="1">
      <alignment horizontal="left" vertical="center" indent="1"/>
    </xf>
    <xf numFmtId="0" fontId="47" fillId="16" borderId="32" xfId="0" applyFont="1" applyFill="1" applyBorder="1" applyAlignment="1" applyProtection="1">
      <alignment horizontal="left" vertical="center" indent="1"/>
      <protection locked="0"/>
    </xf>
    <xf numFmtId="0" fontId="61" fillId="14" borderId="32" xfId="0" applyFont="1" applyFill="1" applyBorder="1" applyAlignment="1">
      <alignment horizontal="left" vertical="center" wrapText="1" indent="1"/>
    </xf>
    <xf numFmtId="0" fontId="61" fillId="10" borderId="32" xfId="0" applyFont="1" applyFill="1" applyBorder="1" applyAlignment="1">
      <alignment horizontal="left" vertical="center" wrapText="1" indent="1"/>
    </xf>
    <xf numFmtId="0" fontId="44" fillId="19" borderId="58" xfId="0" applyFont="1" applyFill="1" applyBorder="1" applyAlignment="1">
      <alignment horizontal="center" vertical="center" wrapText="1"/>
    </xf>
    <xf numFmtId="10" fontId="36" fillId="14" borderId="32" xfId="0" applyNumberFormat="1" applyFont="1" applyFill="1" applyBorder="1" applyAlignment="1">
      <alignment horizontal="center" vertical="center"/>
    </xf>
    <xf numFmtId="10" fontId="36" fillId="10" borderId="32" xfId="0" applyNumberFormat="1" applyFont="1" applyFill="1" applyBorder="1" applyAlignment="1">
      <alignment horizontal="center" vertical="center"/>
    </xf>
    <xf numFmtId="0" fontId="44" fillId="19" borderId="59" xfId="0" applyFont="1" applyFill="1" applyBorder="1" applyAlignment="1">
      <alignment horizontal="center" vertical="center" wrapText="1"/>
    </xf>
    <xf numFmtId="0" fontId="45" fillId="17" borderId="48" xfId="0" applyFont="1" applyFill="1" applyBorder="1" applyAlignment="1">
      <alignment horizontal="center" vertical="center"/>
    </xf>
    <xf numFmtId="0" fontId="45" fillId="20" borderId="48" xfId="0" applyFont="1" applyFill="1" applyBorder="1" applyAlignment="1">
      <alignment horizontal="center" vertical="center"/>
    </xf>
    <xf numFmtId="0" fontId="18" fillId="11" borderId="18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/>
    </xf>
    <xf numFmtId="0" fontId="18" fillId="11" borderId="20" xfId="0" applyFont="1" applyFill="1" applyBorder="1" applyAlignment="1">
      <alignment horizontal="center" vertical="center"/>
    </xf>
    <xf numFmtId="0" fontId="18" fillId="11" borderId="13" xfId="0" applyFont="1" applyFill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0" fontId="18" fillId="11" borderId="17" xfId="0" applyFont="1" applyFill="1" applyBorder="1" applyAlignment="1">
      <alignment horizontal="center" vertical="center"/>
    </xf>
    <xf numFmtId="0" fontId="18" fillId="12" borderId="23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5" xfId="0" applyFont="1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44" fillId="19" borderId="48" xfId="0" applyFont="1" applyFill="1" applyBorder="1" applyAlignment="1">
      <alignment horizontal="center" vertical="center"/>
    </xf>
    <xf numFmtId="0" fontId="44" fillId="19" borderId="30" xfId="0" applyFont="1" applyFill="1" applyBorder="1" applyAlignment="1">
      <alignment horizontal="center" vertical="center"/>
    </xf>
    <xf numFmtId="0" fontId="24" fillId="19" borderId="32" xfId="0" applyFont="1" applyFill="1" applyBorder="1" applyAlignment="1">
      <alignment horizontal="left" vertical="center" indent="1"/>
    </xf>
    <xf numFmtId="0" fontId="0" fillId="0" borderId="32" xfId="0" applyBorder="1"/>
    <xf numFmtId="0" fontId="49" fillId="24" borderId="32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44" fillId="18" borderId="32" xfId="0" applyFont="1" applyFill="1" applyBorder="1" applyAlignment="1">
      <alignment horizontal="center" vertical="center"/>
    </xf>
    <xf numFmtId="0" fontId="44" fillId="19" borderId="32" xfId="0" applyFont="1" applyFill="1" applyBorder="1" applyAlignment="1">
      <alignment horizontal="center" vertical="center"/>
    </xf>
    <xf numFmtId="0" fontId="44" fillId="19" borderId="68" xfId="0" applyFont="1" applyFill="1" applyBorder="1" applyAlignment="1">
      <alignment horizontal="center" vertical="center"/>
    </xf>
    <xf numFmtId="0" fontId="44" fillId="19" borderId="69" xfId="0" applyFont="1" applyFill="1" applyBorder="1" applyAlignment="1">
      <alignment horizontal="center" vertical="center"/>
    </xf>
    <xf numFmtId="0" fontId="44" fillId="19" borderId="70" xfId="0" applyFont="1" applyFill="1" applyBorder="1" applyAlignment="1">
      <alignment horizontal="center" vertical="center"/>
    </xf>
    <xf numFmtId="0" fontId="44" fillId="19" borderId="58" xfId="0" applyFont="1" applyFill="1" applyBorder="1" applyAlignment="1">
      <alignment horizontal="center" vertical="center" wrapText="1"/>
    </xf>
    <xf numFmtId="0" fontId="44" fillId="19" borderId="59" xfId="0" applyFont="1" applyFill="1" applyBorder="1" applyAlignment="1">
      <alignment horizontal="center" vertical="center" wrapText="1"/>
    </xf>
    <xf numFmtId="0" fontId="57" fillId="19" borderId="38" xfId="0" applyFont="1" applyFill="1" applyBorder="1" applyAlignment="1">
      <alignment horizontal="center" vertical="center" wrapText="1"/>
    </xf>
    <xf numFmtId="0" fontId="57" fillId="19" borderId="62" xfId="0" applyFont="1" applyFill="1" applyBorder="1" applyAlignment="1">
      <alignment horizontal="center" vertical="center" wrapText="1"/>
    </xf>
    <xf numFmtId="0" fontId="48" fillId="16" borderId="65" xfId="0" applyFont="1" applyFill="1" applyBorder="1" applyAlignment="1">
      <alignment horizontal="center" vertical="center"/>
    </xf>
    <xf numFmtId="0" fontId="48" fillId="16" borderId="66" xfId="0" applyFont="1" applyFill="1" applyBorder="1" applyAlignment="1">
      <alignment horizontal="center" vertical="center"/>
    </xf>
    <xf numFmtId="0" fontId="48" fillId="16" borderId="67" xfId="0" applyFont="1" applyFill="1" applyBorder="1" applyAlignment="1">
      <alignment horizontal="center" vertical="center"/>
    </xf>
    <xf numFmtId="0" fontId="44" fillId="19" borderId="60" xfId="0" applyFont="1" applyFill="1" applyBorder="1" applyAlignment="1">
      <alignment horizontal="center" vertical="center" wrapText="1"/>
    </xf>
    <xf numFmtId="0" fontId="44" fillId="19" borderId="3" xfId="0" applyFont="1" applyFill="1" applyBorder="1" applyAlignment="1">
      <alignment horizontal="center" vertical="center" wrapText="1"/>
    </xf>
    <xf numFmtId="0" fontId="44" fillId="19" borderId="61" xfId="0" applyFont="1" applyFill="1" applyBorder="1" applyAlignment="1">
      <alignment horizontal="center" vertical="center" wrapText="1"/>
    </xf>
    <xf numFmtId="0" fontId="48" fillId="16" borderId="63" xfId="0" applyFont="1" applyFill="1" applyBorder="1" applyAlignment="1">
      <alignment horizontal="center" vertical="center"/>
    </xf>
    <xf numFmtId="0" fontId="48" fillId="16" borderId="34" xfId="0" applyFont="1" applyFill="1" applyBorder="1" applyAlignment="1">
      <alignment horizontal="center" vertical="center"/>
    </xf>
    <xf numFmtId="0" fontId="48" fillId="16" borderId="56" xfId="0" applyFont="1" applyFill="1" applyBorder="1" applyAlignment="1">
      <alignment horizontal="center" vertical="center"/>
    </xf>
    <xf numFmtId="0" fontId="48" fillId="16" borderId="74" xfId="0" applyFont="1" applyFill="1" applyBorder="1" applyAlignment="1">
      <alignment horizontal="center" vertical="center"/>
    </xf>
    <xf numFmtId="0" fontId="44" fillId="19" borderId="64" xfId="0" applyFont="1" applyFill="1" applyBorder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0" fontId="48" fillId="16" borderId="75" xfId="0" applyFont="1" applyFill="1" applyBorder="1" applyAlignment="1">
      <alignment horizontal="center" vertical="center"/>
    </xf>
    <xf numFmtId="0" fontId="44" fillId="19" borderId="71" xfId="0" applyFont="1" applyFill="1" applyBorder="1" applyAlignment="1">
      <alignment horizontal="center" vertical="center"/>
    </xf>
    <xf numFmtId="0" fontId="44" fillId="19" borderId="72" xfId="0" applyFont="1" applyFill="1" applyBorder="1" applyAlignment="1">
      <alignment horizontal="center" vertical="center"/>
    </xf>
    <xf numFmtId="0" fontId="44" fillId="19" borderId="58" xfId="0" applyFont="1" applyFill="1" applyBorder="1" applyAlignment="1">
      <alignment horizontal="center" vertical="center"/>
    </xf>
    <xf numFmtId="0" fontId="44" fillId="19" borderId="59" xfId="0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/>
    </xf>
    <xf numFmtId="0" fontId="57" fillId="18" borderId="63" xfId="0" applyFont="1" applyFill="1" applyBorder="1" applyAlignment="1">
      <alignment horizontal="center" vertical="center" wrapText="1"/>
    </xf>
    <xf numFmtId="0" fontId="57" fillId="18" borderId="34" xfId="0" applyFont="1" applyFill="1" applyBorder="1" applyAlignment="1">
      <alignment horizontal="center" vertical="center" wrapText="1"/>
    </xf>
    <xf numFmtId="0" fontId="57" fillId="18" borderId="92" xfId="0" applyFont="1" applyFill="1" applyBorder="1" applyAlignment="1">
      <alignment horizontal="center" vertical="center" wrapText="1"/>
    </xf>
    <xf numFmtId="0" fontId="57" fillId="18" borderId="83" xfId="0" applyFont="1" applyFill="1" applyBorder="1" applyAlignment="1">
      <alignment horizontal="center" vertical="center" wrapText="1"/>
    </xf>
    <xf numFmtId="0" fontId="57" fillId="18" borderId="57" xfId="0" applyFont="1" applyFill="1" applyBorder="1" applyAlignment="1">
      <alignment horizontal="center" vertical="center" wrapText="1"/>
    </xf>
    <xf numFmtId="0" fontId="57" fillId="18" borderId="91" xfId="0" applyFont="1" applyFill="1" applyBorder="1" applyAlignment="1">
      <alignment horizontal="center" vertical="center" wrapText="1"/>
    </xf>
    <xf numFmtId="0" fontId="49" fillId="24" borderId="89" xfId="0" applyFont="1" applyFill="1" applyBorder="1" applyAlignment="1">
      <alignment horizontal="center" vertical="center"/>
    </xf>
    <xf numFmtId="0" fontId="49" fillId="24" borderId="87" xfId="0" applyFont="1" applyFill="1" applyBorder="1" applyAlignment="1">
      <alignment horizontal="center" vertical="center"/>
    </xf>
    <xf numFmtId="0" fontId="49" fillId="24" borderId="88" xfId="0" applyFont="1" applyFill="1" applyBorder="1" applyAlignment="1">
      <alignment horizontal="center" vertical="center"/>
    </xf>
    <xf numFmtId="0" fontId="44" fillId="18" borderId="80" xfId="0" applyFont="1" applyFill="1" applyBorder="1" applyAlignment="1">
      <alignment horizontal="center" vertical="center"/>
    </xf>
    <xf numFmtId="0" fontId="44" fillId="18" borderId="81" xfId="0" applyFont="1" applyFill="1" applyBorder="1" applyAlignment="1">
      <alignment horizontal="center" vertical="center"/>
    </xf>
    <xf numFmtId="0" fontId="44" fillId="18" borderId="82" xfId="0" applyFont="1" applyFill="1" applyBorder="1" applyAlignment="1">
      <alignment horizontal="center" vertical="center"/>
    </xf>
    <xf numFmtId="0" fontId="49" fillId="24" borderId="48" xfId="0" applyFont="1" applyFill="1" applyBorder="1" applyAlignment="1">
      <alignment horizontal="center" vertical="center"/>
    </xf>
    <xf numFmtId="0" fontId="49" fillId="24" borderId="30" xfId="0" applyFont="1" applyFill="1" applyBorder="1" applyAlignment="1">
      <alignment horizontal="center" vertical="center"/>
    </xf>
    <xf numFmtId="0" fontId="57" fillId="18" borderId="93" xfId="0" applyFont="1" applyFill="1" applyBorder="1" applyAlignment="1">
      <alignment horizontal="center" vertical="center" wrapText="1"/>
    </xf>
    <xf numFmtId="0" fontId="57" fillId="18" borderId="94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0" fillId="4" borderId="7" xfId="0" applyFill="1" applyBorder="1" applyAlignment="1">
      <alignment horizontal="center"/>
    </xf>
    <xf numFmtId="0" fontId="44" fillId="19" borderId="80" xfId="0" applyFont="1" applyFill="1" applyBorder="1" applyAlignment="1">
      <alignment horizontal="center" vertical="center"/>
    </xf>
    <xf numFmtId="0" fontId="44" fillId="19" borderId="82" xfId="0" applyFont="1" applyFill="1" applyBorder="1" applyAlignment="1">
      <alignment horizontal="center" vertical="center"/>
    </xf>
    <xf numFmtId="0" fontId="49" fillId="24" borderId="86" xfId="0" applyFont="1" applyFill="1" applyBorder="1" applyAlignment="1">
      <alignment horizontal="center" vertical="center"/>
    </xf>
    <xf numFmtId="0" fontId="49" fillId="24" borderId="90" xfId="0" applyFont="1" applyFill="1" applyBorder="1" applyAlignment="1">
      <alignment horizontal="center" vertical="center"/>
    </xf>
    <xf numFmtId="0" fontId="44" fillId="19" borderId="78" xfId="0" applyFont="1" applyFill="1" applyBorder="1" applyAlignment="1">
      <alignment horizontal="center" vertical="center"/>
    </xf>
    <xf numFmtId="0" fontId="44" fillId="19" borderId="79" xfId="0" applyFont="1" applyFill="1" applyBorder="1" applyAlignment="1">
      <alignment horizontal="center" vertical="center"/>
    </xf>
    <xf numFmtId="0" fontId="57" fillId="19" borderId="34" xfId="0" applyFont="1" applyFill="1" applyBorder="1" applyAlignment="1">
      <alignment horizontal="center" vertical="center" wrapText="1"/>
    </xf>
    <xf numFmtId="0" fontId="57" fillId="19" borderId="7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0" fontId="44" fillId="19" borderId="76" xfId="0" applyFont="1" applyFill="1" applyBorder="1" applyAlignment="1">
      <alignment horizontal="center" vertical="center"/>
    </xf>
    <xf numFmtId="0" fontId="44" fillId="19" borderId="77" xfId="0" applyFont="1" applyFill="1" applyBorder="1" applyAlignment="1">
      <alignment horizontal="center" vertical="center"/>
    </xf>
    <xf numFmtId="0" fontId="48" fillId="16" borderId="68" xfId="0" applyFont="1" applyFill="1" applyBorder="1" applyAlignment="1">
      <alignment horizontal="center" vertical="center"/>
    </xf>
    <xf numFmtId="0" fontId="48" fillId="16" borderId="69" xfId="0" applyFont="1" applyFill="1" applyBorder="1" applyAlignment="1">
      <alignment horizontal="center" vertical="center"/>
    </xf>
    <xf numFmtId="0" fontId="48" fillId="16" borderId="85" xfId="0" applyFont="1" applyFill="1" applyBorder="1" applyAlignment="1">
      <alignment horizontal="center" vertical="center"/>
    </xf>
    <xf numFmtId="0" fontId="48" fillId="16" borderId="84" xfId="0" applyFont="1" applyFill="1" applyBorder="1" applyAlignment="1">
      <alignment horizontal="center" vertical="center"/>
    </xf>
    <xf numFmtId="0" fontId="55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5" fillId="13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4" fillId="19" borderId="14" xfId="0" applyFont="1" applyFill="1" applyBorder="1" applyAlignment="1">
      <alignment horizontal="center" vertical="center" wrapText="1"/>
    </xf>
    <xf numFmtId="0" fontId="0" fillId="0" borderId="0" xfId="0"/>
    <xf numFmtId="0" fontId="11" fillId="21" borderId="0" xfId="0" applyFont="1" applyFill="1" applyAlignment="1">
      <alignment horizontal="center" vertical="center"/>
    </xf>
    <xf numFmtId="0" fontId="27" fillId="18" borderId="52" xfId="0" applyFont="1" applyFill="1" applyBorder="1" applyAlignment="1">
      <alignment horizontal="center" vertical="center"/>
    </xf>
    <xf numFmtId="0" fontId="27" fillId="18" borderId="0" xfId="0" applyFont="1" applyFill="1" applyAlignment="1">
      <alignment horizontal="center" vertical="center"/>
    </xf>
    <xf numFmtId="0" fontId="27" fillId="18" borderId="43" xfId="0" applyFont="1" applyFill="1" applyBorder="1" applyAlignment="1">
      <alignment horizontal="center" vertical="center"/>
    </xf>
    <xf numFmtId="0" fontId="27" fillId="18" borderId="53" xfId="0" applyFont="1" applyFill="1" applyBorder="1" applyAlignment="1">
      <alignment horizontal="center" vertical="center"/>
    </xf>
    <xf numFmtId="0" fontId="27" fillId="18" borderId="26" xfId="0" applyFont="1" applyFill="1" applyBorder="1" applyAlignment="1">
      <alignment horizontal="center" vertical="center"/>
    </xf>
    <xf numFmtId="0" fontId="27" fillId="18" borderId="54" xfId="0" applyFont="1" applyFill="1" applyBorder="1" applyAlignment="1">
      <alignment horizontal="center" vertical="center"/>
    </xf>
    <xf numFmtId="0" fontId="11" fillId="21" borderId="44" xfId="0" applyFont="1" applyFill="1" applyBorder="1" applyAlignment="1">
      <alignment horizontal="center" vertical="center"/>
    </xf>
    <xf numFmtId="0" fontId="11" fillId="21" borderId="45" xfId="0" applyFont="1" applyFill="1" applyBorder="1" applyAlignment="1">
      <alignment horizontal="center" vertical="center"/>
    </xf>
    <xf numFmtId="0" fontId="11" fillId="21" borderId="47" xfId="0" applyFont="1" applyFill="1" applyBorder="1" applyAlignment="1">
      <alignment horizontal="center" vertical="center"/>
    </xf>
    <xf numFmtId="0" fontId="11" fillId="21" borderId="46" xfId="0" applyFont="1" applyFill="1" applyBorder="1" applyAlignment="1">
      <alignment horizontal="center" vertical="center"/>
    </xf>
    <xf numFmtId="0" fontId="0" fillId="0" borderId="5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3" xfId="0" applyBorder="1" applyAlignment="1">
      <alignment horizontal="center"/>
    </xf>
    <xf numFmtId="0" fontId="24" fillId="18" borderId="36" xfId="0" applyFont="1" applyFill="1" applyBorder="1" applyAlignment="1">
      <alignment horizontal="center" vertical="center" wrapText="1"/>
    </xf>
    <xf numFmtId="0" fontId="0" fillId="18" borderId="37" xfId="0" applyFill="1" applyBorder="1" applyAlignment="1">
      <alignment horizontal="center"/>
    </xf>
    <xf numFmtId="0" fontId="11" fillId="21" borderId="43" xfId="0" applyFont="1" applyFill="1" applyBorder="1" applyAlignment="1">
      <alignment horizontal="center" vertical="center"/>
    </xf>
    <xf numFmtId="0" fontId="11" fillId="21" borderId="54" xfId="0" applyFont="1" applyFill="1" applyBorder="1" applyAlignment="1">
      <alignment horizontal="center" vertical="center"/>
    </xf>
    <xf numFmtId="0" fontId="21" fillId="16" borderId="27" xfId="0" applyFont="1" applyFill="1" applyBorder="1" applyAlignment="1">
      <alignment horizontal="center" vertical="center"/>
    </xf>
    <xf numFmtId="0" fontId="21" fillId="16" borderId="28" xfId="0" applyFont="1" applyFill="1" applyBorder="1" applyAlignment="1">
      <alignment horizontal="center" vertical="center"/>
    </xf>
    <xf numFmtId="0" fontId="21" fillId="16" borderId="29" xfId="0" applyFont="1" applyFill="1" applyBorder="1" applyAlignment="1">
      <alignment horizontal="center" vertical="center"/>
    </xf>
    <xf numFmtId="0" fontId="21" fillId="16" borderId="30" xfId="0" applyFont="1" applyFill="1" applyBorder="1" applyAlignment="1">
      <alignment horizontal="center" vertical="center"/>
    </xf>
    <xf numFmtId="0" fontId="21" fillId="16" borderId="33" xfId="0" applyFont="1" applyFill="1" applyBorder="1" applyAlignment="1">
      <alignment horizontal="center" vertical="center"/>
    </xf>
    <xf numFmtId="0" fontId="21" fillId="16" borderId="34" xfId="0" applyFont="1" applyFill="1" applyBorder="1" applyAlignment="1">
      <alignment horizontal="center" vertical="center"/>
    </xf>
    <xf numFmtId="0" fontId="0" fillId="7" borderId="57" xfId="0" applyFill="1" applyBorder="1" applyAlignment="1">
      <alignment horizontal="center"/>
    </xf>
    <xf numFmtId="0" fontId="24" fillId="19" borderId="32" xfId="0" applyFont="1" applyFill="1" applyBorder="1" applyAlignment="1">
      <alignment horizontal="center" vertical="center"/>
    </xf>
    <xf numFmtId="0" fontId="24" fillId="18" borderId="16" xfId="0" applyFont="1" applyFill="1" applyBorder="1" applyAlignment="1">
      <alignment horizontal="center" vertical="center" wrapText="1"/>
    </xf>
    <xf numFmtId="0" fontId="0" fillId="18" borderId="0" xfId="0" applyFill="1" applyAlignment="1">
      <alignment horizontal="center"/>
    </xf>
    <xf numFmtId="0" fontId="24" fillId="19" borderId="32" xfId="0" applyFont="1" applyFill="1" applyBorder="1" applyAlignment="1">
      <alignment horizontal="center" vertical="center" wrapText="1"/>
    </xf>
    <xf numFmtId="0" fontId="22" fillId="18" borderId="52" xfId="0" applyFont="1" applyFill="1" applyBorder="1" applyAlignment="1">
      <alignment horizontal="center" vertical="center"/>
    </xf>
    <xf numFmtId="0" fontId="22" fillId="18" borderId="0" xfId="0" applyFont="1" applyFill="1" applyAlignment="1">
      <alignment horizontal="center" vertical="center"/>
    </xf>
    <xf numFmtId="0" fontId="42" fillId="18" borderId="32" xfId="0" applyFont="1" applyFill="1" applyBorder="1" applyAlignment="1">
      <alignment horizontal="left" vertical="center" indent="1"/>
    </xf>
    <xf numFmtId="0" fontId="38" fillId="18" borderId="32" xfId="0" applyFont="1" applyFill="1" applyBorder="1" applyAlignment="1">
      <alignment horizontal="left" vertical="center"/>
    </xf>
    <xf numFmtId="0" fontId="37" fillId="19" borderId="32" xfId="0" applyFont="1" applyFill="1" applyBorder="1" applyAlignment="1">
      <alignment horizontal="left" vertical="center" indent="1"/>
    </xf>
    <xf numFmtId="0" fontId="38" fillId="19" borderId="32" xfId="0" applyFont="1" applyFill="1" applyBorder="1" applyAlignment="1">
      <alignment horizontal="left" vertical="center"/>
    </xf>
    <xf numFmtId="0" fontId="33" fillId="11" borderId="38" xfId="0" applyFont="1" applyFill="1" applyBorder="1" applyAlignment="1">
      <alignment horizontal="center" vertical="center"/>
    </xf>
    <xf numFmtId="0" fontId="33" fillId="11" borderId="55" xfId="0" applyFont="1" applyFill="1" applyBorder="1" applyAlignment="1">
      <alignment horizontal="center" vertical="center"/>
    </xf>
    <xf numFmtId="0" fontId="33" fillId="11" borderId="32" xfId="0" applyFont="1" applyFill="1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0" fontId="33" fillId="11" borderId="32" xfId="0" applyFont="1" applyFill="1" applyBorder="1" applyAlignment="1">
      <alignment horizontal="center" vertical="center"/>
    </xf>
    <xf numFmtId="0" fontId="39" fillId="16" borderId="32" xfId="0" applyFont="1" applyFill="1" applyBorder="1" applyAlignment="1">
      <alignment horizontal="left" vertical="center" indent="1"/>
    </xf>
    <xf numFmtId="0" fontId="40" fillId="16" borderId="32" xfId="0" applyFont="1" applyFill="1" applyBorder="1" applyAlignment="1">
      <alignment horizontal="left" vertical="center"/>
    </xf>
    <xf numFmtId="0" fontId="41" fillId="17" borderId="32" xfId="0" applyFont="1" applyFill="1" applyBorder="1" applyAlignment="1">
      <alignment horizontal="left" vertical="center" indent="1"/>
    </xf>
    <xf numFmtId="0" fontId="40" fillId="17" borderId="32" xfId="0" applyFont="1" applyFill="1" applyBorder="1" applyAlignment="1">
      <alignment horizontal="left" vertical="center"/>
    </xf>
    <xf numFmtId="0" fontId="35" fillId="22" borderId="56" xfId="0" applyFont="1" applyFill="1" applyBorder="1" applyAlignment="1">
      <alignment horizontal="left" vertical="center" wrapText="1" indent="1"/>
    </xf>
    <xf numFmtId="0" fontId="35" fillId="13" borderId="32" xfId="0" applyFont="1" applyFill="1" applyBorder="1" applyAlignment="1">
      <alignment horizontal="left" indent="1"/>
    </xf>
    <xf numFmtId="0" fontId="0" fillId="0" borderId="32" xfId="0" applyBorder="1" applyAlignment="1">
      <alignment horizontal="left" indent="1"/>
    </xf>
    <xf numFmtId="0" fontId="36" fillId="14" borderId="32" xfId="0" applyFont="1" applyFill="1" applyBorder="1" applyAlignment="1">
      <alignment horizontal="left" indent="1"/>
    </xf>
  </cellXfs>
  <cellStyles count="1">
    <cellStyle name="Normal" xfId="0" builtinId="0"/>
  </cellStyles>
  <dxfs count="72">
    <dxf>
      <font>
        <color rgb="FF9C0006"/>
      </font>
      <fill>
        <patternFill>
          <bgColor rgb="FFFFC7CE"/>
        </patternFill>
      </fill>
    </dxf>
    <dxf>
      <font>
        <color rgb="FF8494A4"/>
      </font>
      <fill>
        <patternFill>
          <bgColor rgb="FFE8EBE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A6B3BF"/>
      </font>
      <fill>
        <patternFill>
          <bgColor rgb="FFCBD5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ill>
        <patternFill>
          <bgColor rgb="FFDCE3EA"/>
        </patternFill>
      </fill>
    </dxf>
    <dxf>
      <fill>
        <patternFill>
          <bgColor rgb="FFCBD5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791F1F"/>
      </font>
      <fill>
        <patternFill>
          <bgColor rgb="FFFCEBEB"/>
        </patternFill>
      </fill>
    </dxf>
    <dxf>
      <font>
        <color rgb="FF173404"/>
      </font>
      <fill>
        <patternFill>
          <bgColor rgb="FFEAF3D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A6B3BF"/>
      </font>
    </dxf>
    <dxf>
      <font>
        <color rgb="FFA6B3BF"/>
      </font>
    </dxf>
    <dxf>
      <font>
        <color rgb="FFA6B3BF"/>
      </font>
    </dxf>
    <dxf>
      <font>
        <color rgb="FF791F1F"/>
      </font>
      <fill>
        <patternFill>
          <bgColor rgb="FFFF0000"/>
        </patternFill>
      </fill>
    </dxf>
    <dxf>
      <font>
        <color rgb="FF173404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FF00"/>
      <color rgb="FF0000FF"/>
      <color rgb="FFF7F9FB"/>
      <color rgb="FFD6DCE5"/>
      <color rgb="FF2F3E4E"/>
      <color rgb="FF9DB0BF"/>
      <color rgb="FFEEF2F6"/>
      <color rgb="FF5B7286"/>
      <color rgb="FF9CF8B2"/>
      <color rgb="FF4124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Target vs actual achievement per CLO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028015"/>
        <c:axId val="1209047727"/>
      </c:lineChart>
      <c:catAx>
        <c:axId val="1353028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9047727"/>
        <c:crosses val="autoZero"/>
        <c:auto val="1"/>
        <c:lblAlgn val="ctr"/>
        <c:lblOffset val="100"/>
        <c:noMultiLvlLbl val="0"/>
      </c:catAx>
      <c:valAx>
        <c:axId val="1209047727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35302801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CLOs!E3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2226734</xdr:colOff>
      <xdr:row>0</xdr:row>
      <xdr:rowOff>76200</xdr:rowOff>
    </xdr:from>
    <xdr:to>
      <xdr:col>2</xdr:col>
      <xdr:colOff>3246967</xdr:colOff>
      <xdr:row>1</xdr:row>
      <xdr:rowOff>821266</xdr:rowOff>
    </xdr:to>
    <xdr:pic>
      <xdr:nvPicPr>
        <xdr:cNvPr id="3" name="Picture 9" descr="الوصف: ملون بخلفي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8537"/>
        <a:stretch>
          <a:fillRect/>
        </a:stretch>
      </xdr:blipFill>
      <xdr:spPr bwMode="auto">
        <a:xfrm>
          <a:off x="5723467" y="76200"/>
          <a:ext cx="1020233" cy="931333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2133600</xdr:colOff>
          <xdr:row>14</xdr:row>
          <xdr:rowOff>175260</xdr:rowOff>
        </xdr:from>
        <xdr:to>
          <xdr:col>2</xdr:col>
          <xdr:colOff>1516380</xdr:colOff>
          <xdr:row>14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Course Information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1516380</xdr:colOff>
          <xdr:row>3</xdr:row>
          <xdr:rowOff>76200</xdr:rowOff>
        </xdr:from>
        <xdr:to>
          <xdr:col>1</xdr:col>
          <xdr:colOff>3802380</xdr:colOff>
          <xdr:row>3</xdr:row>
          <xdr:rowOff>396240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CLOs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</xdr:colOff>
          <xdr:row>3</xdr:row>
          <xdr:rowOff>76200</xdr:rowOff>
        </xdr:from>
        <xdr:to>
          <xdr:col>3</xdr:col>
          <xdr:colOff>914400</xdr:colOff>
          <xdr:row>3</xdr:row>
          <xdr:rowOff>396240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ShowAll CLOs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3</xdr:row>
          <xdr:rowOff>76200</xdr:rowOff>
        </xdr:from>
        <xdr:to>
          <xdr:col>5</xdr:col>
          <xdr:colOff>967740</xdr:colOff>
          <xdr:row>3</xdr:row>
          <xdr:rowOff>396240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1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CLOs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7620</xdr:rowOff>
        </xdr:from>
        <xdr:to>
          <xdr:col>4</xdr:col>
          <xdr:colOff>381000</xdr:colOff>
          <xdr:row>3</xdr:row>
          <xdr:rowOff>30480</xdr:rowOff>
        </xdr:to>
        <xdr:sp macro="" textlink="">
          <xdr:nvSpPr>
            <xdr:cNvPr id="27652" name="cbS7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1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63000"/>
              </a:srgbClr>
            </a:solidFill>
            <a:ln>
              <a:noFill/>
            </a:ln>
            <a:extLst>
              <a:ext uri="{91240B29-F687-4F45-9708-019B960494DF}">
                <a14:hiddenLine w="19050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485777</xdr:colOff>
      <xdr:row>2</xdr:row>
      <xdr:rowOff>28575</xdr:rowOff>
    </xdr:from>
    <xdr:to>
      <xdr:col>4</xdr:col>
      <xdr:colOff>1714500</xdr:colOff>
      <xdr:row>2</xdr:row>
      <xdr:rowOff>314325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83A51C2-9F6D-47B4-84C3-EB95898D0B20}"/>
            </a:ext>
          </a:extLst>
        </xdr:cNvPr>
        <xdr:cNvSpPr txBox="1"/>
      </xdr:nvSpPr>
      <xdr:spPr>
        <a:xfrm>
          <a:off x="9010652" y="647700"/>
          <a:ext cx="1228723" cy="28575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>
              <a:solidFill>
                <a:srgbClr val="0000FF"/>
              </a:solidFill>
              <a:latin typeface="+mn-lt"/>
            </a:rPr>
            <a:t>S7 (Rubric)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35</xdr:row>
          <xdr:rowOff>60960</xdr:rowOff>
        </xdr:from>
        <xdr:to>
          <xdr:col>1</xdr:col>
          <xdr:colOff>609600</xdr:colOff>
          <xdr:row>35</xdr:row>
          <xdr:rowOff>335280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Topics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1775460</xdr:colOff>
          <xdr:row>35</xdr:row>
          <xdr:rowOff>60960</xdr:rowOff>
        </xdr:from>
        <xdr:to>
          <xdr:col>1</xdr:col>
          <xdr:colOff>2705100</xdr:colOff>
          <xdr:row>35</xdr:row>
          <xdr:rowOff>335280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2781300</xdr:colOff>
          <xdr:row>35</xdr:row>
          <xdr:rowOff>68580</xdr:rowOff>
        </xdr:from>
        <xdr:to>
          <xdr:col>2</xdr:col>
          <xdr:colOff>571500</xdr:colOff>
          <xdr:row>35</xdr:row>
          <xdr:rowOff>342900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35</xdr:row>
          <xdr:rowOff>60960</xdr:rowOff>
        </xdr:from>
        <xdr:to>
          <xdr:col>1</xdr:col>
          <xdr:colOff>1699260</xdr:colOff>
          <xdr:row>35</xdr:row>
          <xdr:rowOff>335280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35</xdr:row>
          <xdr:rowOff>106680</xdr:rowOff>
        </xdr:from>
        <xdr:to>
          <xdr:col>1</xdr:col>
          <xdr:colOff>762000</xdr:colOff>
          <xdr:row>35</xdr:row>
          <xdr:rowOff>373380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845820</xdr:colOff>
          <xdr:row>35</xdr:row>
          <xdr:rowOff>121920</xdr:rowOff>
        </xdr:from>
        <xdr:to>
          <xdr:col>1</xdr:col>
          <xdr:colOff>2164080</xdr:colOff>
          <xdr:row>35</xdr:row>
          <xdr:rowOff>396240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ShowAll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2301240</xdr:colOff>
          <xdr:row>35</xdr:row>
          <xdr:rowOff>99060</xdr:rowOff>
        </xdr:from>
        <xdr:to>
          <xdr:col>2</xdr:col>
          <xdr:colOff>533400</xdr:colOff>
          <xdr:row>35</xdr:row>
          <xdr:rowOff>373380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Activities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251460</xdr:colOff>
          <xdr:row>0</xdr:row>
          <xdr:rowOff>213360</xdr:rowOff>
        </xdr:from>
        <xdr:to>
          <xdr:col>16</xdr:col>
          <xdr:colOff>868680</xdr:colOff>
          <xdr:row>0</xdr:row>
          <xdr:rowOff>1150620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1943100</xdr:colOff>
          <xdr:row>0</xdr:row>
          <xdr:rowOff>182880</xdr:rowOff>
        </xdr:from>
        <xdr:to>
          <xdr:col>16</xdr:col>
          <xdr:colOff>3771900</xdr:colOff>
          <xdr:row>0</xdr:row>
          <xdr:rowOff>1127760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106680</xdr:rowOff>
        </xdr:from>
        <xdr:to>
          <xdr:col>1</xdr:col>
          <xdr:colOff>952500</xdr:colOff>
          <xdr:row>34</xdr:row>
          <xdr:rowOff>472440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Exam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34</xdr:row>
          <xdr:rowOff>106680</xdr:rowOff>
        </xdr:from>
        <xdr:to>
          <xdr:col>1</xdr:col>
          <xdr:colOff>2545080</xdr:colOff>
          <xdr:row>34</xdr:row>
          <xdr:rowOff>472440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5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Exam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5</xdr:row>
          <xdr:rowOff>411480</xdr:rowOff>
        </xdr:from>
        <xdr:to>
          <xdr:col>3</xdr:col>
          <xdr:colOff>1767840</xdr:colOff>
          <xdr:row>6</xdr:row>
          <xdr:rowOff>411480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6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3</xdr:row>
          <xdr:rowOff>121920</xdr:rowOff>
        </xdr:from>
        <xdr:to>
          <xdr:col>3</xdr:col>
          <xdr:colOff>1767840</xdr:colOff>
          <xdr:row>4</xdr:row>
          <xdr:rowOff>121920</xdr:rowOff>
        </xdr:to>
        <xdr:sp macro="" textlink="">
          <xdr:nvSpPr>
            <xdr:cNvPr id="19468" name="Button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6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# of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4</xdr:row>
          <xdr:rowOff>297180</xdr:rowOff>
        </xdr:from>
        <xdr:to>
          <xdr:col>3</xdr:col>
          <xdr:colOff>1767840</xdr:colOff>
          <xdr:row>5</xdr:row>
          <xdr:rowOff>297180</xdr:rowOff>
        </xdr:to>
        <xdr:sp macro="" textlink="">
          <xdr:nvSpPr>
            <xdr:cNvPr id="19474" name="Button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6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0</xdr:row>
          <xdr:rowOff>121920</xdr:rowOff>
        </xdr:from>
        <xdr:to>
          <xdr:col>3</xdr:col>
          <xdr:colOff>1767840</xdr:colOff>
          <xdr:row>1</xdr:row>
          <xdr:rowOff>121920</xdr:rowOff>
        </xdr:to>
        <xdr:sp macro="" textlink="">
          <xdr:nvSpPr>
            <xdr:cNvPr id="19475" name="Button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6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1</xdr:row>
          <xdr:rowOff>251460</xdr:rowOff>
        </xdr:from>
        <xdr:to>
          <xdr:col>3</xdr:col>
          <xdr:colOff>1767840</xdr:colOff>
          <xdr:row>2</xdr:row>
          <xdr:rowOff>243840</xdr:rowOff>
        </xdr:to>
        <xdr:sp macro="" textlink="">
          <xdr:nvSpPr>
            <xdr:cNvPr id="19476" name="Button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6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Activities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110066</xdr:colOff>
      <xdr:row>38</xdr:row>
      <xdr:rowOff>245533</xdr:rowOff>
    </xdr:from>
    <xdr:to>
      <xdr:col>7</xdr:col>
      <xdr:colOff>110066</xdr:colOff>
      <xdr:row>52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D6BCBF-5C77-CA88-2AD4-C0DD3B7FA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137160</xdr:rowOff>
        </xdr:from>
        <xdr:to>
          <xdr:col>7</xdr:col>
          <xdr:colOff>1303020</xdr:colOff>
          <xdr:row>4</xdr:row>
          <xdr:rowOff>22860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7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CLOs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4</xdr:row>
          <xdr:rowOff>121920</xdr:rowOff>
        </xdr:from>
        <xdr:to>
          <xdr:col>7</xdr:col>
          <xdr:colOff>1287780</xdr:colOff>
          <xdr:row>6</xdr:row>
          <xdr:rowOff>121920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7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854484B-F663-4E0C-9928-34C421055FF5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d1ad99f9-a613-462f-956e-11464f169d3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rmation"/>
  <dimension ref="A1:D27"/>
  <sheetViews>
    <sheetView showGridLines="0" tabSelected="1" zoomScale="80" zoomScaleNormal="80" workbookViewId="0">
      <selection activeCell="C4" sqref="C4"/>
    </sheetView>
  </sheetViews>
  <sheetFormatPr defaultColWidth="0" defaultRowHeight="14.4" zeroHeight="1" x14ac:dyDescent="0.3"/>
  <cols>
    <col min="1" max="1" width="50.6640625" style="48" customWidth="1"/>
    <col min="2" max="2" width="0.33203125" style="48" hidden="1" customWidth="1"/>
    <col min="3" max="3" width="50.6640625" style="48" customWidth="1"/>
    <col min="4" max="4" width="0.88671875" style="48" customWidth="1"/>
    <col min="5" max="16384" width="9.109375" style="48" hidden="1"/>
  </cols>
  <sheetData>
    <row r="1" spans="1:4" x14ac:dyDescent="0.3">
      <c r="A1" s="152" t="s">
        <v>69</v>
      </c>
      <c r="B1" s="153"/>
      <c r="C1" s="154"/>
      <c r="D1" s="163"/>
    </row>
    <row r="2" spans="1:4" ht="69" customHeight="1" thickBot="1" x14ac:dyDescent="0.35">
      <c r="A2" s="155"/>
      <c r="B2" s="156"/>
      <c r="C2" s="157"/>
      <c r="D2" s="163"/>
    </row>
    <row r="3" spans="1:4" ht="26.25" customHeight="1" x14ac:dyDescent="0.3">
      <c r="A3" s="158" t="s">
        <v>49</v>
      </c>
      <c r="B3" s="159"/>
      <c r="C3" s="160"/>
      <c r="D3" s="163"/>
    </row>
    <row r="4" spans="1:4" ht="25.5" customHeight="1" x14ac:dyDescent="0.3">
      <c r="A4" s="49" t="s">
        <v>0</v>
      </c>
      <c r="B4" s="50"/>
      <c r="C4" s="54"/>
      <c r="D4" s="163"/>
    </row>
    <row r="5" spans="1:4" ht="25.5" customHeight="1" x14ac:dyDescent="0.3">
      <c r="A5" s="51" t="s">
        <v>77</v>
      </c>
      <c r="B5" s="52"/>
      <c r="C5" s="55"/>
      <c r="D5" s="163"/>
    </row>
    <row r="6" spans="1:4" ht="25.5" customHeight="1" x14ac:dyDescent="0.3">
      <c r="A6" s="49" t="s">
        <v>78</v>
      </c>
      <c r="B6" s="53"/>
      <c r="C6" s="54"/>
      <c r="D6" s="163"/>
    </row>
    <row r="7" spans="1:4" ht="25.5" customHeight="1" x14ac:dyDescent="0.3">
      <c r="A7" s="51" t="s">
        <v>79</v>
      </c>
      <c r="B7" s="52"/>
      <c r="C7" s="55"/>
      <c r="D7" s="163"/>
    </row>
    <row r="8" spans="1:4" ht="25.5" customHeight="1" x14ac:dyDescent="0.3">
      <c r="A8" s="49" t="s">
        <v>81</v>
      </c>
      <c r="B8" s="53"/>
      <c r="C8" s="54"/>
      <c r="D8" s="163"/>
    </row>
    <row r="9" spans="1:4" ht="25.5" customHeight="1" x14ac:dyDescent="0.3">
      <c r="A9" s="51" t="s">
        <v>82</v>
      </c>
      <c r="B9" s="52"/>
      <c r="C9" s="55"/>
      <c r="D9" s="163"/>
    </row>
    <row r="10" spans="1:4" ht="25.5" customHeight="1" x14ac:dyDescent="0.3">
      <c r="A10" s="49" t="s">
        <v>2</v>
      </c>
      <c r="B10" s="53"/>
      <c r="C10" s="54"/>
      <c r="D10" s="163"/>
    </row>
    <row r="11" spans="1:4" ht="25.5" customHeight="1" x14ac:dyDescent="0.3">
      <c r="A11" s="51" t="s">
        <v>83</v>
      </c>
      <c r="B11" s="52"/>
      <c r="C11" s="55"/>
      <c r="D11" s="163"/>
    </row>
    <row r="12" spans="1:4" ht="25.5" customHeight="1" x14ac:dyDescent="0.3">
      <c r="A12" s="49" t="s">
        <v>3</v>
      </c>
      <c r="B12" s="53"/>
      <c r="C12" s="54"/>
      <c r="D12" s="163"/>
    </row>
    <row r="13" spans="1:4" ht="25.5" customHeight="1" x14ac:dyDescent="0.3">
      <c r="A13" s="51" t="s">
        <v>85</v>
      </c>
      <c r="B13" s="52"/>
      <c r="C13" s="55"/>
      <c r="D13" s="163"/>
    </row>
    <row r="14" spans="1:4" ht="25.5" customHeight="1" x14ac:dyDescent="0.3">
      <c r="A14" s="49" t="s">
        <v>84</v>
      </c>
      <c r="B14" s="53"/>
      <c r="C14" s="54"/>
      <c r="D14" s="163"/>
    </row>
    <row r="15" spans="1:4" ht="49.95" customHeight="1" thickBot="1" x14ac:dyDescent="0.35">
      <c r="A15" s="161"/>
      <c r="B15" s="162"/>
      <c r="C15" s="162"/>
      <c r="D15" s="163"/>
    </row>
    <row r="17" s="48" customFormat="1" hidden="1" x14ac:dyDescent="0.3"/>
    <row r="18" s="48" customFormat="1" hidden="1" x14ac:dyDescent="0.3"/>
    <row r="19" s="48" customFormat="1" hidden="1" x14ac:dyDescent="0.3"/>
    <row r="20" s="48" customFormat="1" hidden="1" x14ac:dyDescent="0.3"/>
    <row r="21" s="48" customFormat="1" hidden="1" x14ac:dyDescent="0.3"/>
    <row r="22" s="48" customFormat="1" hidden="1" x14ac:dyDescent="0.3"/>
    <row r="23" s="48" customFormat="1" hidden="1" x14ac:dyDescent="0.3"/>
    <row r="24" s="48" customFormat="1" hidden="1" x14ac:dyDescent="0.3"/>
    <row r="25" s="48" customFormat="1" hidden="1" x14ac:dyDescent="0.3"/>
    <row r="26" s="48" customFormat="1" hidden="1" x14ac:dyDescent="0.3"/>
    <row r="27" s="48" customFormat="1" hidden="1" x14ac:dyDescent="0.3"/>
  </sheetData>
  <sheetProtection algorithmName="SHA-512" hashValue="KEdjd1BfdcfS2C6upfQCrJ93bV54XMF7QI+2T/kwhUTtvrQxoez9jeWLhCwZjGU3lEP+qWVB5LwBAl/MsZBIvQ==" saltValue="xhlyVSXY60seP8mV5UPSbg==" spinCount="100000" sheet="1" objects="1" scenarios="1" selectLockedCells="1"/>
  <mergeCells count="4">
    <mergeCell ref="A1:C2"/>
    <mergeCell ref="A3:C3"/>
    <mergeCell ref="A15:C15"/>
    <mergeCell ref="D1:D15"/>
  </mergeCells>
  <dataValidations count="1">
    <dataValidation type="list" allowBlank="1" showInputMessage="1" showErrorMessage="1" errorTitle="Semester" error="Choose one of: First, Second, Summer." sqref="C11" xr:uid="{0647DC2B-690F-484A-BB2A-0DA494FCE9A1}">
      <formula1>"First,Second,Summer"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Information">
                <anchor moveWithCells="1" sizeWithCells="1">
                  <from>
                    <xdr:col>0</xdr:col>
                    <xdr:colOff>2133600</xdr:colOff>
                    <xdr:row>14</xdr:row>
                    <xdr:rowOff>175260</xdr:rowOff>
                  </from>
                  <to>
                    <xdr:col>2</xdr:col>
                    <xdr:colOff>1516380</xdr:colOff>
                    <xdr:row>14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LOs"/>
  <dimension ref="A1:K57"/>
  <sheetViews>
    <sheetView zoomScaleNormal="100" workbookViewId="0">
      <selection activeCell="B3" sqref="B3"/>
    </sheetView>
  </sheetViews>
  <sheetFormatPr defaultColWidth="0" defaultRowHeight="14.4" zeroHeight="1" x14ac:dyDescent="0.3"/>
  <cols>
    <col min="1" max="1" width="9.5546875" customWidth="1"/>
    <col min="2" max="2" width="70.77734375" customWidth="1"/>
    <col min="3" max="3" width="25.33203125" customWidth="1"/>
    <col min="4" max="4" width="18.6640625" customWidth="1"/>
    <col min="5" max="5" width="25.109375" customWidth="1"/>
    <col min="6" max="6" width="18.6640625" customWidth="1"/>
    <col min="7" max="7" width="1.44140625" customWidth="1"/>
    <col min="8" max="11" width="8.88671875" hidden="1" customWidth="1"/>
  </cols>
  <sheetData>
    <row r="1" spans="1:7" ht="23.4" customHeight="1" x14ac:dyDescent="0.3">
      <c r="A1" s="166" t="s">
        <v>63</v>
      </c>
      <c r="B1" s="167"/>
      <c r="C1" s="167"/>
      <c r="D1" s="167"/>
      <c r="E1" s="167"/>
      <c r="F1" s="167"/>
      <c r="G1" s="1"/>
    </row>
    <row r="2" spans="1:7" ht="22.05" customHeight="1" x14ac:dyDescent="0.3">
      <c r="A2" s="56" t="b">
        <v>1</v>
      </c>
      <c r="B2" s="45" t="s">
        <v>54</v>
      </c>
      <c r="C2" s="45" t="s">
        <v>18</v>
      </c>
      <c r="D2" s="45" t="s">
        <v>19</v>
      </c>
      <c r="E2" s="45" t="s">
        <v>104</v>
      </c>
      <c r="F2" s="45" t="s">
        <v>62</v>
      </c>
      <c r="G2" s="1"/>
    </row>
    <row r="3" spans="1:7" ht="22.05" customHeight="1" x14ac:dyDescent="0.3">
      <c r="A3" s="57"/>
      <c r="B3" s="47" t="s">
        <v>108</v>
      </c>
      <c r="C3" s="47" t="s">
        <v>108</v>
      </c>
      <c r="D3" s="47" t="s">
        <v>108</v>
      </c>
      <c r="E3" s="143" t="b">
        <v>0</v>
      </c>
      <c r="F3" s="31">
        <v>100</v>
      </c>
      <c r="G3" s="1"/>
    </row>
    <row r="4" spans="1:7" ht="22.05" customHeight="1" x14ac:dyDescent="0.3">
      <c r="A4" s="57"/>
      <c r="B4" s="58"/>
      <c r="C4" s="172"/>
      <c r="D4" s="167"/>
      <c r="E4" s="173"/>
      <c r="F4" s="167"/>
      <c r="G4" s="1"/>
    </row>
    <row r="5" spans="1:7" ht="22.05" customHeight="1" x14ac:dyDescent="0.3">
      <c r="A5" s="57"/>
      <c r="B5" s="18" t="s">
        <v>54</v>
      </c>
      <c r="C5" s="18" t="s">
        <v>18</v>
      </c>
      <c r="D5" s="18" t="s">
        <v>19</v>
      </c>
      <c r="E5" s="19"/>
      <c r="F5" s="19"/>
      <c r="G5" s="1"/>
    </row>
    <row r="6" spans="1:7" ht="22.05" customHeight="1" x14ac:dyDescent="0.3">
      <c r="A6" s="57"/>
      <c r="B6" s="59">
        <f>C10</f>
        <v>0</v>
      </c>
      <c r="C6" s="59">
        <f>C15</f>
        <v>0</v>
      </c>
      <c r="D6" s="59">
        <f>C23</f>
        <v>0</v>
      </c>
      <c r="E6" s="168" t="str">
        <f>IF(($C$10+$C$15+$C$23)=$F$3,"Balanced - "&amp;$F$3&amp;"/"&amp;$F$3,"Off by "&amp;($F$3-($C$10+$C$15+$C$23))&amp;"  ("&amp;($C$10+$C$15+$C$23)&amp;"/"&amp;$F$3&amp;")")</f>
        <v>Off by 100  (0/100)</v>
      </c>
      <c r="F6" s="167"/>
      <c r="G6" s="1"/>
    </row>
    <row r="7" spans="1:7" ht="7.95" customHeight="1" x14ac:dyDescent="0.3">
      <c r="A7" s="169"/>
      <c r="B7" s="170"/>
      <c r="C7" s="170"/>
      <c r="D7" s="170"/>
      <c r="E7" s="170"/>
      <c r="F7" s="171"/>
      <c r="G7" s="1"/>
    </row>
    <row r="8" spans="1:7" ht="15.6" x14ac:dyDescent="0.3">
      <c r="A8" s="166" t="s">
        <v>58</v>
      </c>
      <c r="B8" s="167"/>
      <c r="C8" s="167"/>
      <c r="D8" s="167"/>
      <c r="E8" s="167"/>
      <c r="F8" s="167"/>
      <c r="G8" s="1"/>
    </row>
    <row r="9" spans="1:7" ht="22.05" customHeight="1" x14ac:dyDescent="0.3">
      <c r="A9" s="16" t="s">
        <v>59</v>
      </c>
      <c r="B9" s="16" t="s">
        <v>20</v>
      </c>
      <c r="C9" s="16" t="s">
        <v>60</v>
      </c>
      <c r="D9" s="16" t="s">
        <v>21</v>
      </c>
      <c r="E9" s="164" t="s">
        <v>22</v>
      </c>
      <c r="F9" s="165"/>
      <c r="G9" s="1"/>
    </row>
    <row r="10" spans="1:7" ht="22.05" customHeight="1" x14ac:dyDescent="0.3">
      <c r="A10" s="45">
        <v>1</v>
      </c>
      <c r="B10" s="60" t="s">
        <v>103</v>
      </c>
      <c r="C10" s="45">
        <f>SUM(VK_1:VK_4)</f>
        <v>0</v>
      </c>
      <c r="D10" s="61"/>
      <c r="E10" s="62" t="s">
        <v>23</v>
      </c>
      <c r="F10" s="62" t="s">
        <v>24</v>
      </c>
      <c r="G10" s="1"/>
    </row>
    <row r="11" spans="1:7" ht="40.049999999999997" hidden="1" customHeight="1" x14ac:dyDescent="0.3">
      <c r="A11" s="17">
        <v>1.1000000000000001</v>
      </c>
      <c r="B11" s="23"/>
      <c r="C11" s="25" t="s">
        <v>4</v>
      </c>
      <c r="D11" s="26"/>
      <c r="E11" s="21"/>
      <c r="F11" s="22"/>
      <c r="G11" s="65"/>
    </row>
    <row r="12" spans="1:7" ht="40.049999999999997" hidden="1" customHeight="1" x14ac:dyDescent="0.3">
      <c r="A12" s="20">
        <v>1.2</v>
      </c>
      <c r="B12" s="24"/>
      <c r="C12" s="25" t="s">
        <v>5</v>
      </c>
      <c r="D12" s="27"/>
      <c r="E12" s="28"/>
      <c r="F12" s="29"/>
      <c r="G12" s="1"/>
    </row>
    <row r="13" spans="1:7" ht="40.049999999999997" hidden="1" customHeight="1" x14ac:dyDescent="0.3">
      <c r="A13" s="17">
        <v>1.3</v>
      </c>
      <c r="B13" s="23"/>
      <c r="C13" s="25" t="s">
        <v>6</v>
      </c>
      <c r="D13" s="26"/>
      <c r="E13" s="21"/>
      <c r="F13" s="22"/>
      <c r="G13" s="1"/>
    </row>
    <row r="14" spans="1:7" ht="40.049999999999997" hidden="1" customHeight="1" x14ac:dyDescent="0.3">
      <c r="A14" s="20">
        <v>1.4</v>
      </c>
      <c r="B14" s="24"/>
      <c r="C14" s="25" t="s">
        <v>7</v>
      </c>
      <c r="D14" s="27"/>
      <c r="E14" s="28"/>
      <c r="F14" s="29"/>
      <c r="G14" s="1"/>
    </row>
    <row r="15" spans="1:7" ht="22.05" customHeight="1" x14ac:dyDescent="0.3">
      <c r="A15" s="45">
        <v>2</v>
      </c>
      <c r="B15" s="60" t="s">
        <v>18</v>
      </c>
      <c r="C15" s="45">
        <f>SUM(VS_1:VS_7)</f>
        <v>0</v>
      </c>
      <c r="D15" s="45"/>
      <c r="E15" s="62" t="s">
        <v>23</v>
      </c>
      <c r="F15" s="62" t="s">
        <v>24</v>
      </c>
      <c r="G15" s="1"/>
    </row>
    <row r="16" spans="1:7" ht="40.049999999999997" hidden="1" customHeight="1" x14ac:dyDescent="0.3">
      <c r="A16" s="17">
        <v>2.1</v>
      </c>
      <c r="B16" s="23"/>
      <c r="C16" s="25" t="s">
        <v>8</v>
      </c>
      <c r="D16" s="26"/>
      <c r="E16" s="21"/>
      <c r="F16" s="22"/>
      <c r="G16" s="1"/>
    </row>
    <row r="17" spans="1:7" ht="40.049999999999997" hidden="1" customHeight="1" x14ac:dyDescent="0.3">
      <c r="A17" s="20">
        <v>2.2000000000000002</v>
      </c>
      <c r="B17" s="24"/>
      <c r="C17" s="25" t="s">
        <v>13</v>
      </c>
      <c r="D17" s="27"/>
      <c r="E17" s="28"/>
      <c r="F17" s="29"/>
      <c r="G17" s="1"/>
    </row>
    <row r="18" spans="1:7" ht="40.049999999999997" hidden="1" customHeight="1" x14ac:dyDescent="0.3">
      <c r="A18" s="17">
        <v>2.2999999999999998</v>
      </c>
      <c r="B18" s="23"/>
      <c r="C18" s="25" t="s">
        <v>9</v>
      </c>
      <c r="D18" s="26"/>
      <c r="E18" s="21"/>
      <c r="F18" s="22"/>
      <c r="G18" s="1"/>
    </row>
    <row r="19" spans="1:7" ht="40.049999999999997" hidden="1" customHeight="1" x14ac:dyDescent="0.3">
      <c r="A19" s="20">
        <v>2.4</v>
      </c>
      <c r="B19" s="24"/>
      <c r="C19" s="25" t="s">
        <v>10</v>
      </c>
      <c r="D19" s="27"/>
      <c r="E19" s="28"/>
      <c r="F19" s="29"/>
      <c r="G19" s="1"/>
    </row>
    <row r="20" spans="1:7" ht="40.049999999999997" hidden="1" customHeight="1" x14ac:dyDescent="0.3">
      <c r="A20" s="17">
        <v>2.5</v>
      </c>
      <c r="B20" s="23"/>
      <c r="C20" s="25" t="s">
        <v>11</v>
      </c>
      <c r="D20" s="26"/>
      <c r="E20" s="21"/>
      <c r="F20" s="22"/>
      <c r="G20" s="1"/>
    </row>
    <row r="21" spans="1:7" ht="40.049999999999997" hidden="1" customHeight="1" x14ac:dyDescent="0.3">
      <c r="A21" s="20">
        <v>2.6</v>
      </c>
      <c r="B21" s="24"/>
      <c r="C21" s="25" t="s">
        <v>12</v>
      </c>
      <c r="D21" s="27"/>
      <c r="E21" s="28"/>
      <c r="F21" s="29"/>
      <c r="G21" s="1"/>
    </row>
    <row r="22" spans="1:7" ht="40.049999999999997" hidden="1" customHeight="1" x14ac:dyDescent="0.3">
      <c r="A22" s="17">
        <v>2.7</v>
      </c>
      <c r="B22" s="23"/>
      <c r="C22" s="25" t="s">
        <v>61</v>
      </c>
      <c r="D22" s="26"/>
      <c r="E22" s="21"/>
      <c r="F22" s="22"/>
      <c r="G22" s="1"/>
    </row>
    <row r="23" spans="1:7" ht="22.05" customHeight="1" x14ac:dyDescent="0.3">
      <c r="A23" s="45">
        <v>3</v>
      </c>
      <c r="B23" s="60" t="s">
        <v>19</v>
      </c>
      <c r="C23" s="45">
        <f>SUM(VV_1:VV_4)</f>
        <v>0</v>
      </c>
      <c r="D23" s="45"/>
      <c r="E23" s="62" t="s">
        <v>23</v>
      </c>
      <c r="F23" s="62" t="s">
        <v>24</v>
      </c>
      <c r="G23" s="1"/>
    </row>
    <row r="24" spans="1:7" ht="40.049999999999997" hidden="1" customHeight="1" x14ac:dyDescent="0.3">
      <c r="A24" s="17">
        <v>3.1</v>
      </c>
      <c r="B24" s="23"/>
      <c r="C24" s="30" t="s">
        <v>14</v>
      </c>
      <c r="D24" s="26"/>
      <c r="E24" s="21"/>
      <c r="F24" s="22"/>
      <c r="G24" s="1"/>
    </row>
    <row r="25" spans="1:7" ht="40.049999999999997" hidden="1" customHeight="1" x14ac:dyDescent="0.3">
      <c r="A25" s="20">
        <v>3.2</v>
      </c>
      <c r="B25" s="24"/>
      <c r="C25" s="30" t="s">
        <v>15</v>
      </c>
      <c r="D25" s="27"/>
      <c r="E25" s="28"/>
      <c r="F25" s="29"/>
      <c r="G25" s="1"/>
    </row>
    <row r="26" spans="1:7" ht="40.049999999999997" hidden="1" customHeight="1" x14ac:dyDescent="0.3">
      <c r="A26" s="17">
        <v>3.3</v>
      </c>
      <c r="B26" s="23"/>
      <c r="C26" s="30" t="s">
        <v>16</v>
      </c>
      <c r="D26" s="26"/>
      <c r="E26" s="21"/>
      <c r="F26" s="22"/>
      <c r="G26" s="1"/>
    </row>
    <row r="27" spans="1:7" ht="40.049999999999997" hidden="1" customHeight="1" x14ac:dyDescent="0.3">
      <c r="A27" s="20">
        <v>3.4</v>
      </c>
      <c r="B27" s="24"/>
      <c r="C27" s="30" t="s">
        <v>17</v>
      </c>
      <c r="D27" s="27"/>
      <c r="E27" s="28"/>
      <c r="F27" s="29"/>
      <c r="G27" s="1"/>
    </row>
    <row r="28" spans="1:7" x14ac:dyDescent="0.3">
      <c r="A28" s="1"/>
      <c r="B28" s="1"/>
      <c r="C28" s="1"/>
      <c r="D28" s="1"/>
      <c r="E28" s="66"/>
      <c r="F28" s="67"/>
      <c r="G28" s="1"/>
    </row>
    <row r="29" spans="1:7" ht="82.2" hidden="1" customHeight="1" x14ac:dyDescent="0.3">
      <c r="E29" s="63"/>
      <c r="F29" s="64"/>
      <c r="G29" s="1"/>
    </row>
    <row r="30" spans="1:7" hidden="1" x14ac:dyDescent="0.3">
      <c r="E30" s="66"/>
      <c r="F30" s="67"/>
    </row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</sheetData>
  <sheetProtection algorithmName="SHA-512" hashValue="CgGxABsOu92EWGcfbs+8toXJm864ggTwxwXt6vrB+I61PLQhF8l+qerz5CtRfKMe17dXrnpvp3k+076DZS4PNg==" saltValue="aq+Rem2I1ZZsZfIDeKiUNA==" spinCount="100000" sheet="1" objects="1" scenarios="1" selectLockedCells="1"/>
  <mergeCells count="7">
    <mergeCell ref="E9:F9"/>
    <mergeCell ref="A1:F1"/>
    <mergeCell ref="E6:F6"/>
    <mergeCell ref="A7:F7"/>
    <mergeCell ref="A8:F8"/>
    <mergeCell ref="C4:D4"/>
    <mergeCell ref="E4:F4"/>
  </mergeCells>
  <conditionalFormatting sqref="E6">
    <cfRule type="expression" dxfId="71" priority="97" stopIfTrue="1">
      <formula>($C$10+$C$15+$C$23)=$F$3</formula>
    </cfRule>
    <cfRule type="expression" dxfId="70" priority="98" stopIfTrue="1">
      <formula>($C$10+$C$15+$C$23)&lt;&gt;$F$3</formula>
    </cfRule>
  </conditionalFormatting>
  <conditionalFormatting sqref="D11:F14">
    <cfRule type="cellIs" dxfId="69" priority="102" operator="equal">
      <formula>0</formula>
    </cfRule>
  </conditionalFormatting>
  <conditionalFormatting sqref="D16:F22">
    <cfRule type="cellIs" dxfId="68" priority="103" operator="equal">
      <formula>0</formula>
    </cfRule>
  </conditionalFormatting>
  <conditionalFormatting sqref="D24:F27">
    <cfRule type="cellIs" dxfId="67" priority="104" operator="equal">
      <formula>0</formula>
    </cfRule>
  </conditionalFormatting>
  <dataValidations count="2">
    <dataValidation type="list" allowBlank="1" showInputMessage="1" showErrorMessage="1" sqref="B3 D3" xr:uid="{30295B99-C967-42AE-9B59-21705FA18FB5}">
      <formula1>"0,1,2,3,4"</formula1>
    </dataValidation>
    <dataValidation type="list" allowBlank="1" showInputMessage="1" showErrorMessage="1" sqref="C3" xr:uid="{576804A7-9F9D-4E5F-A1BC-012D4E848204}">
      <formula1>"0,1,2,3,4,5,6"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ild_CLOs">
                <anchor moveWithCells="1" sizeWithCells="1">
                  <from>
                    <xdr:col>1</xdr:col>
                    <xdr:colOff>1516380</xdr:colOff>
                    <xdr:row>3</xdr:row>
                    <xdr:rowOff>76200</xdr:rowOff>
                  </from>
                  <to>
                    <xdr:col>1</xdr:col>
                    <xdr:colOff>3802380</xdr:colOff>
                    <xdr:row>3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ShowAll_CLOs">
                <anchor moveWithCells="1" sizeWithCells="1">
                  <from>
                    <xdr:col>2</xdr:col>
                    <xdr:colOff>365760</xdr:colOff>
                    <xdr:row>3</xdr:row>
                    <xdr:rowOff>76200</xdr:rowOff>
                  </from>
                  <to>
                    <xdr:col>3</xdr:col>
                    <xdr:colOff>914400</xdr:colOff>
                    <xdr:row>3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Clear_CLOs">
                <anchor moveWithCells="1" sizeWithCells="1">
                  <from>
                    <xdr:col>4</xdr:col>
                    <xdr:colOff>403860</xdr:colOff>
                    <xdr:row>3</xdr:row>
                    <xdr:rowOff>76200</xdr:rowOff>
                  </from>
                  <to>
                    <xdr:col>5</xdr:col>
                    <xdr:colOff>967740</xdr:colOff>
                    <xdr:row>3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bS7">
              <controlPr defaultSize="0" autoFill="0" autoLine="0" autoPict="0">
                <anchor moveWithCells="1">
                  <from>
                    <xdr:col>4</xdr:col>
                    <xdr:colOff>152400</xdr:colOff>
                    <xdr:row>2</xdr:row>
                    <xdr:rowOff>7620</xdr:rowOff>
                  </from>
                  <to>
                    <xdr:col>4</xdr:col>
                    <xdr:colOff>381000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opics"/>
  <dimension ref="A1:U49"/>
  <sheetViews>
    <sheetView showGridLines="0" zoomScaleNormal="100" workbookViewId="0">
      <selection activeCell="J3" sqref="J3"/>
    </sheetView>
  </sheetViews>
  <sheetFormatPr defaultColWidth="0" defaultRowHeight="14.4" zeroHeight="1" x14ac:dyDescent="0.3"/>
  <cols>
    <col min="1" max="1" width="6" style="2" customWidth="1"/>
    <col min="2" max="2" width="45.77734375" style="2" customWidth="1"/>
    <col min="3" max="3" width="10.77734375" style="2" customWidth="1"/>
    <col min="4" max="4" width="11.44140625" style="2" customWidth="1"/>
    <col min="5" max="5" width="9" style="2" customWidth="1"/>
    <col min="6" max="20" width="6.44140625" style="2" hidden="1" customWidth="1"/>
    <col min="21" max="21" width="10.77734375" style="2" customWidth="1"/>
    <col min="22" max="16384" width="8.88671875" style="2" hidden="1"/>
  </cols>
  <sheetData>
    <row r="1" spans="1:21" customFormat="1" ht="19.95" customHeight="1" x14ac:dyDescent="0.3">
      <c r="A1" s="177" t="s">
        <v>27</v>
      </c>
      <c r="B1" s="184" t="s">
        <v>26</v>
      </c>
      <c r="C1" s="184" t="s">
        <v>28</v>
      </c>
      <c r="D1" s="184" t="s">
        <v>21</v>
      </c>
      <c r="E1" s="184" t="s">
        <v>29</v>
      </c>
      <c r="F1" s="45" t="str">
        <f>K_1</f>
        <v>K1</v>
      </c>
      <c r="G1" s="45" t="str">
        <f>K_2</f>
        <v>K2</v>
      </c>
      <c r="H1" s="45" t="str">
        <f>K_3</f>
        <v>K3</v>
      </c>
      <c r="I1" s="45" t="str">
        <f>K_4</f>
        <v>K4</v>
      </c>
      <c r="J1" s="45" t="str">
        <f>S_1</f>
        <v>S1</v>
      </c>
      <c r="K1" s="45" t="str">
        <f>S_2</f>
        <v>S2</v>
      </c>
      <c r="L1" s="45" t="str">
        <f>S_3</f>
        <v>S3</v>
      </c>
      <c r="M1" s="45" t="str">
        <f>S_4</f>
        <v>S4</v>
      </c>
      <c r="N1" s="45" t="str">
        <f>S_5</f>
        <v>S5</v>
      </c>
      <c r="O1" s="45" t="str">
        <f>S_6</f>
        <v>S6</v>
      </c>
      <c r="P1" s="45" t="str">
        <f>S_7</f>
        <v>S7</v>
      </c>
      <c r="Q1" s="45" t="str">
        <f>V_1</f>
        <v>V1</v>
      </c>
      <c r="R1" s="45" t="str">
        <f>V_2</f>
        <v>V2</v>
      </c>
      <c r="S1" s="45" t="str">
        <f>V_3</f>
        <v>V3</v>
      </c>
      <c r="T1" s="45" t="str">
        <f>V_4</f>
        <v>V4</v>
      </c>
      <c r="U1" s="179" t="s">
        <v>31</v>
      </c>
    </row>
    <row r="2" spans="1:21" customFormat="1" ht="19.95" customHeight="1" thickBot="1" x14ac:dyDescent="0.35">
      <c r="A2" s="178"/>
      <c r="B2" s="186"/>
      <c r="C2" s="185"/>
      <c r="D2" s="185"/>
      <c r="E2" s="185"/>
      <c r="F2" s="17">
        <f>VK_1</f>
        <v>0</v>
      </c>
      <c r="G2" s="17">
        <f>VK_2</f>
        <v>0</v>
      </c>
      <c r="H2" s="17">
        <f>VK_3</f>
        <v>0</v>
      </c>
      <c r="I2" s="17">
        <f>VK_4</f>
        <v>0</v>
      </c>
      <c r="J2" s="17">
        <f>VS_1</f>
        <v>0</v>
      </c>
      <c r="K2" s="17">
        <f>VS_2</f>
        <v>0</v>
      </c>
      <c r="L2" s="17">
        <f>VS_3</f>
        <v>0</v>
      </c>
      <c r="M2" s="17">
        <f>VS_4</f>
        <v>0</v>
      </c>
      <c r="N2" s="17">
        <f>VS_5</f>
        <v>0</v>
      </c>
      <c r="O2" s="17">
        <f>VS_6</f>
        <v>0</v>
      </c>
      <c r="P2" s="17">
        <f>VS_7</f>
        <v>0</v>
      </c>
      <c r="Q2" s="17">
        <f>VV_1</f>
        <v>0</v>
      </c>
      <c r="R2" s="17">
        <f>VV_2</f>
        <v>0</v>
      </c>
      <c r="S2" s="17">
        <f>VV_3</f>
        <v>0</v>
      </c>
      <c r="T2" s="17">
        <f>VV_4</f>
        <v>0</v>
      </c>
      <c r="U2" s="180"/>
    </row>
    <row r="3" spans="1:21" customFormat="1" ht="19.95" customHeight="1" x14ac:dyDescent="0.3">
      <c r="A3" s="34">
        <v>1</v>
      </c>
      <c r="B3" s="38"/>
      <c r="C3" s="36"/>
      <c r="D3" s="17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3" t="str">
        <f t="shared" ref="U3:U32" si="0">IF(SUM($F3:$T3)=E3,"Ok","Error")</f>
        <v>Ok</v>
      </c>
    </row>
    <row r="4" spans="1:21" customFormat="1" ht="19.95" hidden="1" customHeight="1" x14ac:dyDescent="0.3">
      <c r="A4" s="34">
        <v>2</v>
      </c>
      <c r="B4" s="39"/>
      <c r="C4" s="37"/>
      <c r="D4" s="20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3" t="str">
        <f t="shared" si="0"/>
        <v>Ok</v>
      </c>
    </row>
    <row r="5" spans="1:21" customFormat="1" ht="19.95" hidden="1" customHeight="1" x14ac:dyDescent="0.3">
      <c r="A5" s="34">
        <v>3</v>
      </c>
      <c r="B5" s="38"/>
      <c r="C5" s="36"/>
      <c r="D5" s="17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3" t="str">
        <f t="shared" si="0"/>
        <v>Ok</v>
      </c>
    </row>
    <row r="6" spans="1:21" customFormat="1" ht="19.95" hidden="1" customHeight="1" x14ac:dyDescent="0.3">
      <c r="A6" s="34">
        <v>4</v>
      </c>
      <c r="B6" s="39"/>
      <c r="C6" s="37"/>
      <c r="D6" s="20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3" t="str">
        <f t="shared" si="0"/>
        <v>Ok</v>
      </c>
    </row>
    <row r="7" spans="1:21" customFormat="1" ht="19.95" hidden="1" customHeight="1" x14ac:dyDescent="0.3">
      <c r="A7" s="34">
        <v>5</v>
      </c>
      <c r="B7" s="38"/>
      <c r="C7" s="36"/>
      <c r="D7" s="17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3" t="str">
        <f t="shared" si="0"/>
        <v>Ok</v>
      </c>
    </row>
    <row r="8" spans="1:21" customFormat="1" ht="19.95" hidden="1" customHeight="1" x14ac:dyDescent="0.3">
      <c r="A8" s="34">
        <v>6</v>
      </c>
      <c r="B8" s="39"/>
      <c r="C8" s="37"/>
      <c r="D8" s="20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3" t="str">
        <f t="shared" si="0"/>
        <v>Ok</v>
      </c>
    </row>
    <row r="9" spans="1:21" customFormat="1" ht="19.95" hidden="1" customHeight="1" x14ac:dyDescent="0.3">
      <c r="A9" s="34">
        <v>7</v>
      </c>
      <c r="B9" s="38"/>
      <c r="C9" s="36"/>
      <c r="D9" s="17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3" t="str">
        <f t="shared" si="0"/>
        <v>Ok</v>
      </c>
    </row>
    <row r="10" spans="1:21" customFormat="1" ht="19.95" hidden="1" customHeight="1" x14ac:dyDescent="0.3">
      <c r="A10" s="34">
        <v>8</v>
      </c>
      <c r="B10" s="39"/>
      <c r="C10" s="37"/>
      <c r="D10" s="20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3" t="str">
        <f t="shared" si="0"/>
        <v>Ok</v>
      </c>
    </row>
    <row r="11" spans="1:21" customFormat="1" ht="19.95" hidden="1" customHeight="1" x14ac:dyDescent="0.3">
      <c r="A11" s="34">
        <v>9</v>
      </c>
      <c r="B11" s="38"/>
      <c r="C11" s="36"/>
      <c r="D11" s="17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3" t="str">
        <f t="shared" si="0"/>
        <v>Ok</v>
      </c>
    </row>
    <row r="12" spans="1:21" customFormat="1" ht="19.95" hidden="1" customHeight="1" x14ac:dyDescent="0.3">
      <c r="A12" s="34">
        <v>10</v>
      </c>
      <c r="B12" s="39"/>
      <c r="C12" s="37"/>
      <c r="D12" s="20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3" t="str">
        <f t="shared" si="0"/>
        <v>Ok</v>
      </c>
    </row>
    <row r="13" spans="1:21" customFormat="1" ht="19.95" hidden="1" customHeight="1" x14ac:dyDescent="0.3">
      <c r="A13" s="34">
        <v>11</v>
      </c>
      <c r="B13" s="38"/>
      <c r="C13" s="36"/>
      <c r="D13" s="17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3" t="str">
        <f t="shared" si="0"/>
        <v>Ok</v>
      </c>
    </row>
    <row r="14" spans="1:21" customFormat="1" ht="19.95" hidden="1" customHeight="1" x14ac:dyDescent="0.3">
      <c r="A14" s="34">
        <v>12</v>
      </c>
      <c r="B14" s="39"/>
      <c r="C14" s="37"/>
      <c r="D14" s="20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3" t="str">
        <f t="shared" si="0"/>
        <v>Ok</v>
      </c>
    </row>
    <row r="15" spans="1:21" customFormat="1" ht="19.95" hidden="1" customHeight="1" x14ac:dyDescent="0.3">
      <c r="A15" s="34">
        <v>13</v>
      </c>
      <c r="B15" s="38"/>
      <c r="C15" s="36"/>
      <c r="D15" s="17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3" t="str">
        <f t="shared" si="0"/>
        <v>Ok</v>
      </c>
    </row>
    <row r="16" spans="1:21" customFormat="1" ht="19.95" hidden="1" customHeight="1" x14ac:dyDescent="0.3">
      <c r="A16" s="34">
        <v>14</v>
      </c>
      <c r="B16" s="39"/>
      <c r="C16" s="37"/>
      <c r="D16" s="20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3" t="str">
        <f t="shared" si="0"/>
        <v>Ok</v>
      </c>
    </row>
    <row r="17" spans="1:21" customFormat="1" ht="19.95" hidden="1" customHeight="1" x14ac:dyDescent="0.3">
      <c r="A17" s="34">
        <v>15</v>
      </c>
      <c r="B17" s="38"/>
      <c r="C17" s="36"/>
      <c r="D17" s="17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3" t="str">
        <f t="shared" si="0"/>
        <v>Ok</v>
      </c>
    </row>
    <row r="18" spans="1:21" customFormat="1" ht="19.95" hidden="1" customHeight="1" x14ac:dyDescent="0.3">
      <c r="A18" s="34">
        <v>16</v>
      </c>
      <c r="B18" s="39"/>
      <c r="C18" s="37"/>
      <c r="D18" s="20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3" t="str">
        <f t="shared" si="0"/>
        <v>Ok</v>
      </c>
    </row>
    <row r="19" spans="1:21" customFormat="1" ht="19.95" hidden="1" customHeight="1" x14ac:dyDescent="0.3">
      <c r="A19" s="34">
        <v>17</v>
      </c>
      <c r="B19" s="38"/>
      <c r="C19" s="36"/>
      <c r="D19" s="17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3" t="str">
        <f t="shared" si="0"/>
        <v>Ok</v>
      </c>
    </row>
    <row r="20" spans="1:21" customFormat="1" ht="19.95" hidden="1" customHeight="1" x14ac:dyDescent="0.3">
      <c r="A20" s="34">
        <v>18</v>
      </c>
      <c r="B20" s="39"/>
      <c r="C20" s="37"/>
      <c r="D20" s="20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3" t="str">
        <f t="shared" si="0"/>
        <v>Ok</v>
      </c>
    </row>
    <row r="21" spans="1:21" customFormat="1" ht="19.95" hidden="1" customHeight="1" x14ac:dyDescent="0.3">
      <c r="A21" s="34">
        <v>19</v>
      </c>
      <c r="B21" s="38"/>
      <c r="C21" s="36"/>
      <c r="D21" s="17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3" t="str">
        <f t="shared" si="0"/>
        <v>Ok</v>
      </c>
    </row>
    <row r="22" spans="1:21" customFormat="1" ht="19.95" hidden="1" customHeight="1" x14ac:dyDescent="0.3">
      <c r="A22" s="34">
        <v>20</v>
      </c>
      <c r="B22" s="39"/>
      <c r="C22" s="37"/>
      <c r="D22" s="20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3" t="str">
        <f t="shared" si="0"/>
        <v>Ok</v>
      </c>
    </row>
    <row r="23" spans="1:21" customFormat="1" ht="19.95" hidden="1" customHeight="1" x14ac:dyDescent="0.3">
      <c r="A23" s="34">
        <v>21</v>
      </c>
      <c r="B23" s="38"/>
      <c r="C23" s="36"/>
      <c r="D23" s="17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3" t="str">
        <f t="shared" si="0"/>
        <v>Ok</v>
      </c>
    </row>
    <row r="24" spans="1:21" customFormat="1" ht="19.95" hidden="1" customHeight="1" x14ac:dyDescent="0.3">
      <c r="A24" s="34">
        <v>22</v>
      </c>
      <c r="B24" s="39"/>
      <c r="C24" s="37"/>
      <c r="D24" s="20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3" t="str">
        <f t="shared" si="0"/>
        <v>Ok</v>
      </c>
    </row>
    <row r="25" spans="1:21" customFormat="1" ht="19.95" hidden="1" customHeight="1" x14ac:dyDescent="0.3">
      <c r="A25" s="34">
        <v>23</v>
      </c>
      <c r="B25" s="38"/>
      <c r="C25" s="36"/>
      <c r="D25" s="17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3" t="str">
        <f t="shared" si="0"/>
        <v>Ok</v>
      </c>
    </row>
    <row r="26" spans="1:21" customFormat="1" ht="19.95" hidden="1" customHeight="1" x14ac:dyDescent="0.3">
      <c r="A26" s="34">
        <v>24</v>
      </c>
      <c r="B26" s="39"/>
      <c r="C26" s="37"/>
      <c r="D26" s="20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3" t="str">
        <f t="shared" si="0"/>
        <v>Ok</v>
      </c>
    </row>
    <row r="27" spans="1:21" customFormat="1" ht="19.95" hidden="1" customHeight="1" x14ac:dyDescent="0.3">
      <c r="A27" s="34">
        <v>25</v>
      </c>
      <c r="B27" s="38"/>
      <c r="C27" s="36"/>
      <c r="D27" s="17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3" t="str">
        <f t="shared" si="0"/>
        <v>Ok</v>
      </c>
    </row>
    <row r="28" spans="1:21" customFormat="1" ht="19.95" hidden="1" customHeight="1" x14ac:dyDescent="0.3">
      <c r="A28" s="34">
        <v>26</v>
      </c>
      <c r="B28" s="39"/>
      <c r="C28" s="37"/>
      <c r="D28" s="20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3" t="str">
        <f t="shared" si="0"/>
        <v>Ok</v>
      </c>
    </row>
    <row r="29" spans="1:21" customFormat="1" ht="19.95" hidden="1" customHeight="1" x14ac:dyDescent="0.3">
      <c r="A29" s="34">
        <v>27</v>
      </c>
      <c r="B29" s="38"/>
      <c r="C29" s="36"/>
      <c r="D29" s="17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3" t="str">
        <f t="shared" si="0"/>
        <v>Ok</v>
      </c>
    </row>
    <row r="30" spans="1:21" customFormat="1" ht="19.95" hidden="1" customHeight="1" x14ac:dyDescent="0.3">
      <c r="A30" s="34">
        <v>28</v>
      </c>
      <c r="B30" s="39"/>
      <c r="C30" s="37"/>
      <c r="D30" s="20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3" t="str">
        <f t="shared" si="0"/>
        <v>Ok</v>
      </c>
    </row>
    <row r="31" spans="1:21" customFormat="1" ht="19.95" hidden="1" customHeight="1" x14ac:dyDescent="0.3">
      <c r="A31" s="34">
        <v>29</v>
      </c>
      <c r="B31" s="38"/>
      <c r="C31" s="36"/>
      <c r="D31" s="17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3" t="str">
        <f t="shared" si="0"/>
        <v>Ok</v>
      </c>
    </row>
    <row r="32" spans="1:21" customFormat="1" ht="19.95" hidden="1" customHeight="1" x14ac:dyDescent="0.3">
      <c r="A32" s="34">
        <v>30</v>
      </c>
      <c r="B32" s="39"/>
      <c r="C32" s="37"/>
      <c r="D32" s="20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3" t="str">
        <f t="shared" si="0"/>
        <v>Ok</v>
      </c>
    </row>
    <row r="33" spans="1:21" customFormat="1" ht="22.2" customHeight="1" thickBot="1" x14ac:dyDescent="0.35">
      <c r="A33" s="187" t="s">
        <v>25</v>
      </c>
      <c r="B33" s="188" t="s">
        <v>25</v>
      </c>
      <c r="C33" s="18">
        <f>SUM(C3:C32)</f>
        <v>0</v>
      </c>
      <c r="D33" s="34">
        <f>SUM(D3:D32)</f>
        <v>0</v>
      </c>
      <c r="E33" s="33" t="str">
        <f>IF(SUM(E3:E32)=Full_Mark,"Ok","Error")</f>
        <v>Error</v>
      </c>
      <c r="F33" s="34">
        <f t="shared" ref="F33:T33" si="1">SUM(F3:F32)</f>
        <v>0</v>
      </c>
      <c r="G33" s="34">
        <f t="shared" si="1"/>
        <v>0</v>
      </c>
      <c r="H33" s="34">
        <f t="shared" si="1"/>
        <v>0</v>
      </c>
      <c r="I33" s="34">
        <f t="shared" si="1"/>
        <v>0</v>
      </c>
      <c r="J33" s="34">
        <f t="shared" si="1"/>
        <v>0</v>
      </c>
      <c r="K33" s="34">
        <f t="shared" si="1"/>
        <v>0</v>
      </c>
      <c r="L33" s="34">
        <f t="shared" si="1"/>
        <v>0</v>
      </c>
      <c r="M33" s="34">
        <f t="shared" si="1"/>
        <v>0</v>
      </c>
      <c r="N33" s="34">
        <f t="shared" si="1"/>
        <v>0</v>
      </c>
      <c r="O33" s="34">
        <f t="shared" si="1"/>
        <v>0</v>
      </c>
      <c r="P33" s="34">
        <f t="shared" si="1"/>
        <v>0</v>
      </c>
      <c r="Q33" s="34">
        <f t="shared" si="1"/>
        <v>0</v>
      </c>
      <c r="R33" s="34">
        <f t="shared" si="1"/>
        <v>0</v>
      </c>
      <c r="S33" s="34">
        <f t="shared" si="1"/>
        <v>0</v>
      </c>
      <c r="T33" s="34">
        <f t="shared" si="1"/>
        <v>0</v>
      </c>
      <c r="U33" s="68"/>
    </row>
    <row r="34" spans="1:21" customFormat="1" ht="22.2" customHeight="1" x14ac:dyDescent="0.3">
      <c r="B34" s="181" t="s">
        <v>30</v>
      </c>
      <c r="C34" s="182"/>
      <c r="D34" s="182"/>
      <c r="E34" s="183"/>
      <c r="F34" s="35" t="str">
        <f>IF(VK_1=F33,"Ok","Error")</f>
        <v>Ok</v>
      </c>
      <c r="G34" s="35" t="str">
        <f>IF(VK_2=G33,"Ok","Error")</f>
        <v>Ok</v>
      </c>
      <c r="H34" s="35" t="str">
        <f>IF(VK_3=H33,"Ok","Error")</f>
        <v>Ok</v>
      </c>
      <c r="I34" s="35" t="str">
        <f>IF(VK_4=I33,"Ok","Error")</f>
        <v>Ok</v>
      </c>
      <c r="J34" s="35" t="str">
        <f>IF(VS_1=J33,"Ok","Error")</f>
        <v>Ok</v>
      </c>
      <c r="K34" s="35" t="str">
        <f>IF(VS_2=K33,"Ok","Error")</f>
        <v>Ok</v>
      </c>
      <c r="L34" s="35" t="str">
        <f>IF(VS_3=L33,"Ok","Error")</f>
        <v>Ok</v>
      </c>
      <c r="M34" s="35" t="str">
        <f>IF(VS_4=M33,"Ok","Error")</f>
        <v>Ok</v>
      </c>
      <c r="N34" s="35" t="str">
        <f>IF(VS_5=N33,"Ok","Error")</f>
        <v>Ok</v>
      </c>
      <c r="O34" s="35" t="str">
        <f>IF(VS_6=O33,"Ok","Error")</f>
        <v>Ok</v>
      </c>
      <c r="P34" s="35" t="str">
        <f>IF(VS_7=P33,"Ok","Error")</f>
        <v>Ok</v>
      </c>
      <c r="Q34" s="35" t="str">
        <f>IF(VV_1=Q33,"Ok","Error")</f>
        <v>Ok</v>
      </c>
      <c r="R34" s="35" t="str">
        <f>IF(VV_2=R33,"Ok","Error")</f>
        <v>Ok</v>
      </c>
      <c r="S34" s="35" t="str">
        <f>IF(VV_3=S33,"Ok","Error")</f>
        <v>Ok</v>
      </c>
      <c r="T34" s="35" t="str">
        <f>IF(VV_4=T33,"Ok","Error")</f>
        <v>Ok</v>
      </c>
      <c r="U34" s="69"/>
    </row>
    <row r="35" spans="1:21" customFormat="1" ht="12.6" customHeight="1" x14ac:dyDescent="0.3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</row>
    <row r="36" spans="1:21" customFormat="1" ht="32.4" customHeight="1" x14ac:dyDescent="0.3">
      <c r="A36" s="174"/>
      <c r="B36" s="175"/>
      <c r="C36" s="176"/>
      <c r="D36" s="70" t="s">
        <v>64</v>
      </c>
      <c r="E36" s="40">
        <v>1</v>
      </c>
    </row>
    <row r="48" spans="1:21" hidden="1" x14ac:dyDescent="0.3">
      <c r="L48"/>
    </row>
    <row r="49" spans="12:12" hidden="1" x14ac:dyDescent="0.3">
      <c r="L49"/>
    </row>
  </sheetData>
  <sheetProtection algorithmName="SHA-512" hashValue="fMIqmO/4yhBAbn/8GDtFkEF9xZwbI135WTB9qMMQUKLTOnPhU+mvLgTbh1QEVgR1egSHATGqcfL6F1KyWcKcDw==" saltValue="ZnXul76rBF6Ua11q4fS1xA==" spinCount="100000" sheet="1" objects="1" scenarios="1" selectLockedCells="1"/>
  <mergeCells count="9">
    <mergeCell ref="A36:C36"/>
    <mergeCell ref="A1:A2"/>
    <mergeCell ref="U1:U2"/>
    <mergeCell ref="B34:E34"/>
    <mergeCell ref="E1:E2"/>
    <mergeCell ref="D1:D2"/>
    <mergeCell ref="C1:C2"/>
    <mergeCell ref="B1:B2"/>
    <mergeCell ref="A33:B33"/>
  </mergeCells>
  <conditionalFormatting sqref="E33">
    <cfRule type="expression" dxfId="66" priority="4" stopIfTrue="1">
      <formula>$E$33="Ok"</formula>
    </cfRule>
    <cfRule type="expression" dxfId="65" priority="5" stopIfTrue="1">
      <formula>$E$33&lt;&gt;"Ok"</formula>
    </cfRule>
  </conditionalFormatting>
  <conditionalFormatting sqref="U3:U32">
    <cfRule type="expression" dxfId="64" priority="6" stopIfTrue="1">
      <formula>U3="Ok"</formula>
    </cfRule>
    <cfRule type="expression" dxfId="63" priority="7" stopIfTrue="1">
      <formula>U3&lt;&gt;"Ok"</formula>
    </cfRule>
  </conditionalFormatting>
  <conditionalFormatting sqref="F34:T34">
    <cfRule type="expression" dxfId="62" priority="8" stopIfTrue="1">
      <formula>F34="Ok"</formula>
    </cfRule>
    <cfRule type="expression" dxfId="61" priority="9" stopIfTrue="1">
      <formula>F34&lt;&gt;"Ok"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Build_Topics">
                <anchor moveWithCells="1" sizeWithCells="1">
                  <from>
                    <xdr:col>0</xdr:col>
                    <xdr:colOff>91440</xdr:colOff>
                    <xdr:row>35</xdr:row>
                    <xdr:rowOff>60960</xdr:rowOff>
                  </from>
                  <to>
                    <xdr:col>1</xdr:col>
                    <xdr:colOff>609600</xdr:colOff>
                    <xdr:row>35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ShowAll_Topics">
                <anchor moveWithCells="1" sizeWithCells="1">
                  <from>
                    <xdr:col>1</xdr:col>
                    <xdr:colOff>1775460</xdr:colOff>
                    <xdr:row>35</xdr:row>
                    <xdr:rowOff>60960</xdr:rowOff>
                  </from>
                  <to>
                    <xdr:col>1</xdr:col>
                    <xdr:colOff>2705100</xdr:colOff>
                    <xdr:row>35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Clear_Topics">
                <anchor moveWithCells="1" sizeWithCells="1">
                  <from>
                    <xdr:col>1</xdr:col>
                    <xdr:colOff>2781300</xdr:colOff>
                    <xdr:row>35</xdr:row>
                    <xdr:rowOff>68580</xdr:rowOff>
                  </from>
                  <to>
                    <xdr:col>2</xdr:col>
                    <xdr:colOff>571500</xdr:colOff>
                    <xdr:row>35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Recalc_TopicMarks">
                <anchor moveWithCells="1" sizeWithCells="1">
                  <from>
                    <xdr:col>1</xdr:col>
                    <xdr:colOff>685800</xdr:colOff>
                    <xdr:row>35</xdr:row>
                    <xdr:rowOff>60960</xdr:rowOff>
                  </from>
                  <to>
                    <xdr:col>1</xdr:col>
                    <xdr:colOff>1699260</xdr:colOff>
                    <xdr:row>35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ctivities"/>
  <dimension ref="A1:XFC39"/>
  <sheetViews>
    <sheetView showGridLines="0" zoomScale="90" zoomScaleNormal="90" workbookViewId="0">
      <selection activeCell="F2" sqref="F2"/>
    </sheetView>
  </sheetViews>
  <sheetFormatPr defaultColWidth="0" defaultRowHeight="14.4" zeroHeight="1" x14ac:dyDescent="0.3"/>
  <cols>
    <col min="1" max="1" width="6" customWidth="1"/>
    <col min="2" max="2" width="45.77734375" customWidth="1"/>
    <col min="3" max="3" width="9" customWidth="1"/>
    <col min="4" max="18" width="11" hidden="1" customWidth="1"/>
    <col min="19" max="19" width="13" style="71" customWidth="1"/>
    <col min="25" max="16383" width="8.88671875" hidden="1"/>
    <col min="16384" max="16384" width="4.44140625" hidden="1"/>
  </cols>
  <sheetData>
    <row r="1" spans="1:19" ht="30" customHeight="1" x14ac:dyDescent="0.3">
      <c r="A1" s="177" t="s">
        <v>27</v>
      </c>
      <c r="B1" s="194" t="s">
        <v>26</v>
      </c>
      <c r="C1" s="196" t="s">
        <v>21</v>
      </c>
      <c r="D1" s="41" t="s">
        <v>55</v>
      </c>
      <c r="E1" s="41" t="s">
        <v>56</v>
      </c>
      <c r="F1" s="41" t="s">
        <v>45</v>
      </c>
      <c r="G1" s="41" t="s">
        <v>47</v>
      </c>
      <c r="H1" s="41" t="s">
        <v>46</v>
      </c>
      <c r="I1" s="41" t="s">
        <v>32</v>
      </c>
      <c r="J1" s="41" t="s">
        <v>52</v>
      </c>
      <c r="K1" s="41" t="s">
        <v>53</v>
      </c>
      <c r="L1" s="41" t="s">
        <v>66</v>
      </c>
      <c r="M1" s="41" t="s">
        <v>67</v>
      </c>
      <c r="N1" s="41" t="s">
        <v>35</v>
      </c>
      <c r="O1" s="41" t="s">
        <v>33</v>
      </c>
      <c r="P1" s="41" t="s">
        <v>34</v>
      </c>
      <c r="Q1" s="41" t="s">
        <v>65</v>
      </c>
      <c r="R1" s="41" t="s">
        <v>57</v>
      </c>
      <c r="S1" s="146" t="s">
        <v>31</v>
      </c>
    </row>
    <row r="2" spans="1:19" ht="16.2" thickBot="1" x14ac:dyDescent="0.35">
      <c r="A2" s="178"/>
      <c r="B2" s="195"/>
      <c r="C2" s="197"/>
      <c r="D2" s="42">
        <v>0</v>
      </c>
      <c r="E2" s="42">
        <v>0</v>
      </c>
      <c r="F2" s="42">
        <v>0</v>
      </c>
      <c r="G2" s="42">
        <v>0</v>
      </c>
      <c r="H2" s="42">
        <v>0</v>
      </c>
      <c r="I2" s="42">
        <v>0</v>
      </c>
      <c r="J2" s="42">
        <v>0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  <c r="P2" s="42">
        <v>0</v>
      </c>
      <c r="Q2" s="42">
        <v>0</v>
      </c>
      <c r="R2" s="42">
        <v>0</v>
      </c>
      <c r="S2" s="149" t="str">
        <f>IF(SUM(D2:R2)=Full_Mark,"Ok","Error")</f>
        <v>Error</v>
      </c>
    </row>
    <row r="3" spans="1:19" ht="19.95" customHeight="1" x14ac:dyDescent="0.3">
      <c r="A3" s="34">
        <v>1</v>
      </c>
      <c r="B3" s="133" t="str">
        <f>IF(Top_1="","",Top_1)</f>
        <v/>
      </c>
      <c r="C3" s="150">
        <f>TopV_1</f>
        <v>0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33" t="str">
        <f t="shared" ref="S3:S32" si="0">IF(SUM($D3:$R3)=C3,"Ok","Error")</f>
        <v>Ok</v>
      </c>
    </row>
    <row r="4" spans="1:19" ht="19.95" hidden="1" customHeight="1" x14ac:dyDescent="0.3">
      <c r="A4" s="34">
        <v>2</v>
      </c>
      <c r="B4" s="134" t="str">
        <f>IF(Top_2="","",Top_2)</f>
        <v/>
      </c>
      <c r="C4" s="151">
        <f>TopV_2</f>
        <v>0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33" t="str">
        <f t="shared" si="0"/>
        <v>Ok</v>
      </c>
    </row>
    <row r="5" spans="1:19" ht="19.95" hidden="1" customHeight="1" x14ac:dyDescent="0.3">
      <c r="A5" s="34">
        <v>3</v>
      </c>
      <c r="B5" s="133" t="str">
        <f>IF(Top_3="","",Top_3)</f>
        <v/>
      </c>
      <c r="C5" s="150">
        <f>TopV_3</f>
        <v>0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33" t="str">
        <f t="shared" si="0"/>
        <v>Ok</v>
      </c>
    </row>
    <row r="6" spans="1:19" ht="19.95" hidden="1" customHeight="1" x14ac:dyDescent="0.3">
      <c r="A6" s="34">
        <v>4</v>
      </c>
      <c r="B6" s="134" t="str">
        <f>IF(Top_4="","",Top_4)</f>
        <v/>
      </c>
      <c r="C6" s="151">
        <f>TopV_4</f>
        <v>0</v>
      </c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33" t="str">
        <f t="shared" si="0"/>
        <v>Ok</v>
      </c>
    </row>
    <row r="7" spans="1:19" ht="19.95" hidden="1" customHeight="1" x14ac:dyDescent="0.3">
      <c r="A7" s="34">
        <v>5</v>
      </c>
      <c r="B7" s="133" t="str">
        <f>IF(Top_5="","",Top_5)</f>
        <v/>
      </c>
      <c r="C7" s="150">
        <f>TopV_5</f>
        <v>0</v>
      </c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33" t="str">
        <f t="shared" si="0"/>
        <v>Ok</v>
      </c>
    </row>
    <row r="8" spans="1:19" ht="19.95" hidden="1" customHeight="1" x14ac:dyDescent="0.3">
      <c r="A8" s="34">
        <v>6</v>
      </c>
      <c r="B8" s="134" t="str">
        <f>IF(Top_6="","",Top_6)</f>
        <v/>
      </c>
      <c r="C8" s="151">
        <f>TopV_6</f>
        <v>0</v>
      </c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33" t="str">
        <f t="shared" si="0"/>
        <v>Ok</v>
      </c>
    </row>
    <row r="9" spans="1:19" ht="19.95" hidden="1" customHeight="1" x14ac:dyDescent="0.3">
      <c r="A9" s="34">
        <v>7</v>
      </c>
      <c r="B9" s="133" t="str">
        <f>IF(Top_7="","",Top_7)</f>
        <v/>
      </c>
      <c r="C9" s="150">
        <f>TopV_7</f>
        <v>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33" t="str">
        <f t="shared" si="0"/>
        <v>Ok</v>
      </c>
    </row>
    <row r="10" spans="1:19" ht="19.95" hidden="1" customHeight="1" x14ac:dyDescent="0.3">
      <c r="A10" s="34">
        <v>8</v>
      </c>
      <c r="B10" s="134" t="str">
        <f>IF(Top_8="","",Top_8)</f>
        <v/>
      </c>
      <c r="C10" s="151">
        <f>TopV_8</f>
        <v>0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33" t="str">
        <f t="shared" si="0"/>
        <v>Ok</v>
      </c>
    </row>
    <row r="11" spans="1:19" ht="19.95" hidden="1" customHeight="1" x14ac:dyDescent="0.3">
      <c r="A11" s="34">
        <v>9</v>
      </c>
      <c r="B11" s="133" t="str">
        <f>IF(Top_9="","",Top_9)</f>
        <v/>
      </c>
      <c r="C11" s="150">
        <f>TopV_9</f>
        <v>0</v>
      </c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33" t="str">
        <f t="shared" si="0"/>
        <v>Ok</v>
      </c>
    </row>
    <row r="12" spans="1:19" ht="19.95" hidden="1" customHeight="1" x14ac:dyDescent="0.3">
      <c r="A12" s="34">
        <v>10</v>
      </c>
      <c r="B12" s="134" t="str">
        <f>IF(Top_10="","",Top_10)</f>
        <v/>
      </c>
      <c r="C12" s="151">
        <f>TopV_10</f>
        <v>0</v>
      </c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33" t="str">
        <f t="shared" si="0"/>
        <v>Ok</v>
      </c>
    </row>
    <row r="13" spans="1:19" ht="19.95" hidden="1" customHeight="1" x14ac:dyDescent="0.3">
      <c r="A13" s="34">
        <v>11</v>
      </c>
      <c r="B13" s="133" t="str">
        <f>IF(Top_11="","",Top_11)</f>
        <v/>
      </c>
      <c r="C13" s="150">
        <f>TopV_11</f>
        <v>0</v>
      </c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33" t="str">
        <f t="shared" si="0"/>
        <v>Ok</v>
      </c>
    </row>
    <row r="14" spans="1:19" ht="19.95" hidden="1" customHeight="1" x14ac:dyDescent="0.3">
      <c r="A14" s="34">
        <v>12</v>
      </c>
      <c r="B14" s="134" t="str">
        <f>IF(Top_12="","",Top_12)</f>
        <v/>
      </c>
      <c r="C14" s="151">
        <f>TopV_12</f>
        <v>0</v>
      </c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33" t="str">
        <f t="shared" si="0"/>
        <v>Ok</v>
      </c>
    </row>
    <row r="15" spans="1:19" ht="19.95" hidden="1" customHeight="1" x14ac:dyDescent="0.3">
      <c r="A15" s="34">
        <v>13</v>
      </c>
      <c r="B15" s="133" t="str">
        <f>IF(Top_13="","",Top_13)</f>
        <v/>
      </c>
      <c r="C15" s="150">
        <f>TopV_13</f>
        <v>0</v>
      </c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33" t="str">
        <f t="shared" si="0"/>
        <v>Ok</v>
      </c>
    </row>
    <row r="16" spans="1:19" ht="19.95" hidden="1" customHeight="1" x14ac:dyDescent="0.3">
      <c r="A16" s="34">
        <v>14</v>
      </c>
      <c r="B16" s="134" t="str">
        <f>IF(Top_14="","",Top_14)</f>
        <v/>
      </c>
      <c r="C16" s="151">
        <f>TopV_14</f>
        <v>0</v>
      </c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33" t="str">
        <f t="shared" si="0"/>
        <v>Ok</v>
      </c>
    </row>
    <row r="17" spans="1:19" ht="19.95" hidden="1" customHeight="1" x14ac:dyDescent="0.3">
      <c r="A17" s="34">
        <v>15</v>
      </c>
      <c r="B17" s="133" t="str">
        <f>IF(Top_15="","",Top_15)</f>
        <v/>
      </c>
      <c r="C17" s="150">
        <f>TopV_15</f>
        <v>0</v>
      </c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33" t="str">
        <f t="shared" si="0"/>
        <v>Ok</v>
      </c>
    </row>
    <row r="18" spans="1:19" ht="19.95" hidden="1" customHeight="1" x14ac:dyDescent="0.3">
      <c r="A18" s="34">
        <v>16</v>
      </c>
      <c r="B18" s="134" t="str">
        <f>IF(Top_16="","",Top_16)</f>
        <v/>
      </c>
      <c r="C18" s="151">
        <f>TopV_16</f>
        <v>0</v>
      </c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33" t="str">
        <f t="shared" si="0"/>
        <v>Ok</v>
      </c>
    </row>
    <row r="19" spans="1:19" ht="19.95" hidden="1" customHeight="1" x14ac:dyDescent="0.3">
      <c r="A19" s="34">
        <v>17</v>
      </c>
      <c r="B19" s="133" t="str">
        <f>IF(Top_17="","",Top_17)</f>
        <v/>
      </c>
      <c r="C19" s="150">
        <f>TopV_17</f>
        <v>0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33" t="str">
        <f t="shared" si="0"/>
        <v>Ok</v>
      </c>
    </row>
    <row r="20" spans="1:19" ht="19.95" hidden="1" customHeight="1" x14ac:dyDescent="0.3">
      <c r="A20" s="34">
        <v>18</v>
      </c>
      <c r="B20" s="134" t="str">
        <f>IF(Top_18="","",Top_18)</f>
        <v/>
      </c>
      <c r="C20" s="151">
        <f>TopV_18</f>
        <v>0</v>
      </c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33" t="str">
        <f t="shared" si="0"/>
        <v>Ok</v>
      </c>
    </row>
    <row r="21" spans="1:19" ht="19.95" hidden="1" customHeight="1" x14ac:dyDescent="0.3">
      <c r="A21" s="34">
        <v>19</v>
      </c>
      <c r="B21" s="133" t="str">
        <f>IF(Top_19="","",Top_19)</f>
        <v/>
      </c>
      <c r="C21" s="150">
        <f>TopV_19</f>
        <v>0</v>
      </c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33" t="str">
        <f t="shared" si="0"/>
        <v>Ok</v>
      </c>
    </row>
    <row r="22" spans="1:19" ht="19.95" hidden="1" customHeight="1" x14ac:dyDescent="0.3">
      <c r="A22" s="34">
        <v>20</v>
      </c>
      <c r="B22" s="134" t="str">
        <f>IF(Top_20="","",Top_20)</f>
        <v/>
      </c>
      <c r="C22" s="151">
        <f>TopV_20</f>
        <v>0</v>
      </c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33" t="str">
        <f t="shared" si="0"/>
        <v>Ok</v>
      </c>
    </row>
    <row r="23" spans="1:19" ht="19.95" hidden="1" customHeight="1" x14ac:dyDescent="0.3">
      <c r="A23" s="34">
        <v>21</v>
      </c>
      <c r="B23" s="133" t="str">
        <f>IF(Top_21="","",Top_21)</f>
        <v/>
      </c>
      <c r="C23" s="150">
        <f>TopV_21</f>
        <v>0</v>
      </c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33" t="str">
        <f t="shared" si="0"/>
        <v>Ok</v>
      </c>
    </row>
    <row r="24" spans="1:19" ht="19.95" hidden="1" customHeight="1" x14ac:dyDescent="0.3">
      <c r="A24" s="34">
        <v>22</v>
      </c>
      <c r="B24" s="134" t="str">
        <f>IF(Top_22="","",Top_22)</f>
        <v/>
      </c>
      <c r="C24" s="151">
        <f>TopV_22</f>
        <v>0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33" t="str">
        <f t="shared" si="0"/>
        <v>Ok</v>
      </c>
    </row>
    <row r="25" spans="1:19" ht="19.95" hidden="1" customHeight="1" x14ac:dyDescent="0.3">
      <c r="A25" s="34">
        <v>23</v>
      </c>
      <c r="B25" s="133" t="str">
        <f>IF(Top_23="","",Top_23)</f>
        <v/>
      </c>
      <c r="C25" s="150">
        <f>TopV_23</f>
        <v>0</v>
      </c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33" t="str">
        <f t="shared" si="0"/>
        <v>Ok</v>
      </c>
    </row>
    <row r="26" spans="1:19" ht="19.95" hidden="1" customHeight="1" x14ac:dyDescent="0.3">
      <c r="A26" s="34">
        <v>24</v>
      </c>
      <c r="B26" s="134" t="str">
        <f>IF(Top_24="","",Top_24)</f>
        <v/>
      </c>
      <c r="C26" s="151">
        <f>TopV_24</f>
        <v>0</v>
      </c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33" t="str">
        <f t="shared" si="0"/>
        <v>Ok</v>
      </c>
    </row>
    <row r="27" spans="1:19" ht="19.95" hidden="1" customHeight="1" x14ac:dyDescent="0.3">
      <c r="A27" s="34">
        <v>25</v>
      </c>
      <c r="B27" s="133" t="str">
        <f>IF(Top_25="","",Top_25)</f>
        <v/>
      </c>
      <c r="C27" s="150">
        <f>TopV_25</f>
        <v>0</v>
      </c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33" t="str">
        <f t="shared" si="0"/>
        <v>Ok</v>
      </c>
    </row>
    <row r="28" spans="1:19" ht="19.95" hidden="1" customHeight="1" x14ac:dyDescent="0.3">
      <c r="A28" s="34">
        <v>26</v>
      </c>
      <c r="B28" s="134" t="str">
        <f>IF(Top_26="","",Top_26)</f>
        <v/>
      </c>
      <c r="C28" s="151">
        <f>TopV_26</f>
        <v>0</v>
      </c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33" t="str">
        <f t="shared" si="0"/>
        <v>Ok</v>
      </c>
    </row>
    <row r="29" spans="1:19" ht="19.95" hidden="1" customHeight="1" x14ac:dyDescent="0.3">
      <c r="A29" s="34">
        <v>27</v>
      </c>
      <c r="B29" s="133" t="str">
        <f>IF(Top_27="","",Top_27)</f>
        <v/>
      </c>
      <c r="C29" s="150">
        <f>TopV_27</f>
        <v>0</v>
      </c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33" t="str">
        <f t="shared" si="0"/>
        <v>Ok</v>
      </c>
    </row>
    <row r="30" spans="1:19" ht="19.95" hidden="1" customHeight="1" x14ac:dyDescent="0.3">
      <c r="A30" s="34">
        <v>28</v>
      </c>
      <c r="B30" s="134" t="str">
        <f>IF(Top_28="","",Top_28)</f>
        <v/>
      </c>
      <c r="C30" s="151">
        <f>TopV_28</f>
        <v>0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33" t="str">
        <f t="shared" si="0"/>
        <v>Ok</v>
      </c>
    </row>
    <row r="31" spans="1:19" ht="19.95" hidden="1" customHeight="1" x14ac:dyDescent="0.3">
      <c r="A31" s="34">
        <v>29</v>
      </c>
      <c r="B31" s="133" t="str">
        <f>IF(Top_29="","",Top_29)</f>
        <v/>
      </c>
      <c r="C31" s="150">
        <f>TopV_29</f>
        <v>0</v>
      </c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33" t="str">
        <f t="shared" si="0"/>
        <v>Ok</v>
      </c>
    </row>
    <row r="32" spans="1:19" ht="19.95" hidden="1" customHeight="1" x14ac:dyDescent="0.3">
      <c r="A32" s="34">
        <v>30</v>
      </c>
      <c r="B32" s="134" t="str">
        <f>IF(Top_30="","",Top_30)</f>
        <v/>
      </c>
      <c r="C32" s="151">
        <f>TopV_30</f>
        <v>0</v>
      </c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33" t="str">
        <f t="shared" si="0"/>
        <v>Ok</v>
      </c>
    </row>
    <row r="33" spans="1:19" ht="22.95" customHeight="1" x14ac:dyDescent="0.3">
      <c r="A33" s="189" t="s">
        <v>25</v>
      </c>
      <c r="B33" s="190"/>
      <c r="C33" s="34">
        <f t="shared" ref="C33:R33" si="1">SUM(C3:C32)</f>
        <v>0</v>
      </c>
      <c r="D33" s="34">
        <f t="shared" si="1"/>
        <v>0</v>
      </c>
      <c r="E33" s="34">
        <f t="shared" si="1"/>
        <v>0</v>
      </c>
      <c r="F33" s="34">
        <f t="shared" si="1"/>
        <v>0</v>
      </c>
      <c r="G33" s="34">
        <f t="shared" si="1"/>
        <v>0</v>
      </c>
      <c r="H33" s="34">
        <f t="shared" si="1"/>
        <v>0</v>
      </c>
      <c r="I33" s="34">
        <f t="shared" si="1"/>
        <v>0</v>
      </c>
      <c r="J33" s="34">
        <f t="shared" si="1"/>
        <v>0</v>
      </c>
      <c r="K33" s="34">
        <f t="shared" si="1"/>
        <v>0</v>
      </c>
      <c r="L33" s="34">
        <f t="shared" si="1"/>
        <v>0</v>
      </c>
      <c r="M33" s="34">
        <f t="shared" si="1"/>
        <v>0</v>
      </c>
      <c r="N33" s="34">
        <f t="shared" si="1"/>
        <v>0</v>
      </c>
      <c r="O33" s="34">
        <f t="shared" si="1"/>
        <v>0</v>
      </c>
      <c r="P33" s="34">
        <f t="shared" si="1"/>
        <v>0</v>
      </c>
      <c r="Q33" s="34">
        <f t="shared" si="1"/>
        <v>0</v>
      </c>
      <c r="R33" s="34">
        <f t="shared" si="1"/>
        <v>0</v>
      </c>
      <c r="S33" s="68"/>
    </row>
    <row r="34" spans="1:19" ht="22.95" customHeight="1" x14ac:dyDescent="0.3">
      <c r="A34" s="192" t="s">
        <v>30</v>
      </c>
      <c r="B34" s="192"/>
      <c r="C34" s="193"/>
      <c r="D34" s="33" t="str">
        <f>IF(ACT_1=D33,"Ok","Error")</f>
        <v>Ok</v>
      </c>
      <c r="E34" s="33" t="str">
        <f>IF(ACT_2=E33,"Ok","Error")</f>
        <v>Ok</v>
      </c>
      <c r="F34" s="33" t="str">
        <f>IF(ACT_3=F33,"Ok","Error")</f>
        <v>Ok</v>
      </c>
      <c r="G34" s="33" t="str">
        <f>IF(ACT_4=G33,"Ok","Error")</f>
        <v>Ok</v>
      </c>
      <c r="H34" s="33" t="str">
        <f>IF(ACT_5=H33,"Ok","Error")</f>
        <v>Ok</v>
      </c>
      <c r="I34" s="33" t="str">
        <f>IF(ACT_6=I33,"Ok","Error")</f>
        <v>Ok</v>
      </c>
      <c r="J34" s="33" t="str">
        <f>IF(ACT_7=J33,"Ok","Error")</f>
        <v>Ok</v>
      </c>
      <c r="K34" s="33" t="str">
        <f>IF(ACT_8=K33,"Ok","Error")</f>
        <v>Ok</v>
      </c>
      <c r="L34" s="33" t="str">
        <f>IF(ACT_9=L33,"Ok","Error")</f>
        <v>Ok</v>
      </c>
      <c r="M34" s="33" t="str">
        <f>IF(ACT_10=M33,"Ok","Error")</f>
        <v>Ok</v>
      </c>
      <c r="N34" s="33" t="str">
        <f>IF(ACT_11=N33,"Ok","Error")</f>
        <v>Ok</v>
      </c>
      <c r="O34" s="33" t="str">
        <f>IF(ACT_12=O33,"Ok","Error")</f>
        <v>Ok</v>
      </c>
      <c r="P34" s="33" t="str">
        <f>IF(ACT_13=P33,"Ok","Error")</f>
        <v>Ok</v>
      </c>
      <c r="Q34" s="33" t="str">
        <f>IF(ACT_14=Q33,"Ok","Error")</f>
        <v>Ok</v>
      </c>
      <c r="R34" s="33" t="str">
        <f>IF(ACT_15=R33,"Ok","Error")</f>
        <v>Ok</v>
      </c>
      <c r="S34" s="68"/>
    </row>
    <row r="35" spans="1:19" ht="22.95" customHeight="1" x14ac:dyDescent="0.3"/>
    <row r="36" spans="1:19" ht="40.799999999999997" customHeight="1" x14ac:dyDescent="0.3">
      <c r="A36" s="191"/>
      <c r="B36" s="191"/>
      <c r="C36" s="191"/>
    </row>
    <row r="37" spans="1:19" ht="50.4" hidden="1" customHeight="1" x14ac:dyDescent="0.3"/>
    <row r="39" spans="1:19" ht="7.8" hidden="1" customHeight="1" x14ac:dyDescent="0.3"/>
  </sheetData>
  <sheetProtection algorithmName="SHA-512" hashValue="fw7LigUcGhTfVkWGVTNQepckyooBGi3UGvvwsf7kDebviq5qdTXpbSAI8sLeEB9mZlSG1SvW2eOQbeTouQpJPw==" saltValue="yV4Dx/D8gR0xtVaYkh2qBQ==" spinCount="100000" sheet="1" objects="1" scenarios="1" selectLockedCells="1"/>
  <mergeCells count="6">
    <mergeCell ref="A33:B33"/>
    <mergeCell ref="A36:C36"/>
    <mergeCell ref="A34:C34"/>
    <mergeCell ref="A1:A2"/>
    <mergeCell ref="B1:B2"/>
    <mergeCell ref="C1:C2"/>
  </mergeCells>
  <phoneticPr fontId="4" type="noConversion"/>
  <conditionalFormatting sqref="S3:S32">
    <cfRule type="expression" dxfId="60" priority="13" stopIfTrue="1">
      <formula>S3="Ok"</formula>
    </cfRule>
    <cfRule type="expression" dxfId="59" priority="14" stopIfTrue="1">
      <formula>S3&lt;&gt;"Ok"</formula>
    </cfRule>
  </conditionalFormatting>
  <conditionalFormatting sqref="D34:R34">
    <cfRule type="expression" dxfId="58" priority="15" stopIfTrue="1">
      <formula>D34="Ok"</formula>
    </cfRule>
    <cfRule type="expression" dxfId="57" priority="16" stopIfTrue="1">
      <formula>D34&lt;&gt;"Ok"</formula>
    </cfRule>
  </conditionalFormatting>
  <conditionalFormatting sqref="D3:I32 N3:P32">
    <cfRule type="expression" dxfId="56" priority="17">
      <formula>ISBLANK(D3)</formula>
    </cfRule>
  </conditionalFormatting>
  <conditionalFormatting sqref="J3:M32 Q3:R32">
    <cfRule type="expression" dxfId="55" priority="18">
      <formula>ISBLANK(J3)</formula>
    </cfRule>
  </conditionalFormatting>
  <conditionalFormatting sqref="S2">
    <cfRule type="expression" dxfId="54" priority="19" stopIfTrue="1">
      <formula>$S$2="Ok"</formula>
    </cfRule>
    <cfRule type="expression" dxfId="53" priority="20" stopIfTrue="1">
      <formula>$S$2&lt;&gt;"Ok"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ide_UnusedActivities">
                <anchor moveWithCells="1" sizeWithCells="1">
                  <from>
                    <xdr:col>0</xdr:col>
                    <xdr:colOff>106680</xdr:colOff>
                    <xdr:row>35</xdr:row>
                    <xdr:rowOff>106680</xdr:rowOff>
                  </from>
                  <to>
                    <xdr:col>1</xdr:col>
                    <xdr:colOff>762000</xdr:colOff>
                    <xdr:row>35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owAll_Activities">
                <anchor moveWithCells="1" sizeWithCells="1">
                  <from>
                    <xdr:col>1</xdr:col>
                    <xdr:colOff>845820</xdr:colOff>
                    <xdr:row>35</xdr:row>
                    <xdr:rowOff>121920</xdr:rowOff>
                  </from>
                  <to>
                    <xdr:col>1</xdr:col>
                    <xdr:colOff>2164080</xdr:colOff>
                    <xdr:row>35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_Activities">
                <anchor moveWithCells="1" sizeWithCells="1">
                  <from>
                    <xdr:col>1</xdr:col>
                    <xdr:colOff>2301240</xdr:colOff>
                    <xdr:row>35</xdr:row>
                    <xdr:rowOff>99060</xdr:rowOff>
                  </from>
                  <to>
                    <xdr:col>2</xdr:col>
                    <xdr:colOff>533400</xdr:colOff>
                    <xdr:row>35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le_Specifications"/>
  <dimension ref="A1:IE52"/>
  <sheetViews>
    <sheetView showGridLines="0" zoomScale="90" zoomScaleNormal="90" workbookViewId="0">
      <pane xSplit="1" topLeftCell="E1" activePane="topRight" state="frozen"/>
      <selection pane="topRight" activeCell="E3" sqref="E3"/>
    </sheetView>
  </sheetViews>
  <sheetFormatPr defaultColWidth="0" defaultRowHeight="14.4" zeroHeight="1" x14ac:dyDescent="0.3"/>
  <cols>
    <col min="1" max="1" width="6" customWidth="1"/>
    <col min="2" max="2" width="45.77734375" customWidth="1"/>
    <col min="3" max="3" width="7" customWidth="1"/>
    <col min="4" max="4" width="6" hidden="1" customWidth="1"/>
    <col min="5" max="14" width="9" hidden="1" customWidth="1"/>
    <col min="15" max="15" width="6" hidden="1" customWidth="1"/>
    <col min="16" max="25" width="9" hidden="1" customWidth="1"/>
    <col min="26" max="26" width="6" hidden="1" customWidth="1"/>
    <col min="27" max="36" width="10.6640625" hidden="1" customWidth="1"/>
    <col min="37" max="37" width="6" hidden="1" customWidth="1"/>
    <col min="38" max="47" width="10.6640625" hidden="1" customWidth="1"/>
    <col min="48" max="48" width="6" hidden="1" customWidth="1"/>
    <col min="49" max="61" width="9" hidden="1" customWidth="1"/>
    <col min="62" max="62" width="6" hidden="1" customWidth="1"/>
    <col min="63" max="75" width="9" hidden="1" customWidth="1"/>
    <col min="76" max="76" width="6" hidden="1" customWidth="1"/>
    <col min="77" max="89" width="9" hidden="1" customWidth="1"/>
    <col min="90" max="90" width="6" hidden="1" customWidth="1"/>
    <col min="91" max="103" width="9" hidden="1" customWidth="1"/>
    <col min="104" max="104" width="6" hidden="1" customWidth="1"/>
    <col min="105" max="117" width="9" hidden="1" customWidth="1"/>
    <col min="118" max="118" width="6" hidden="1" customWidth="1"/>
    <col min="119" max="131" width="9" hidden="1" customWidth="1"/>
    <col min="132" max="132" width="6" hidden="1" customWidth="1"/>
    <col min="133" max="141" width="10.6640625" hidden="1" customWidth="1"/>
    <col min="142" max="142" width="6" hidden="1" customWidth="1"/>
    <col min="143" max="151" width="9" hidden="1" customWidth="1"/>
    <col min="152" max="152" width="6" hidden="1" customWidth="1"/>
    <col min="153" max="161" width="9" hidden="1" customWidth="1"/>
    <col min="162" max="162" width="6" hidden="1" customWidth="1"/>
    <col min="163" max="171" width="9" hidden="1" customWidth="1"/>
    <col min="172" max="172" width="6" hidden="1" customWidth="1"/>
    <col min="173" max="181" width="9" hidden="1" customWidth="1"/>
    <col min="182" max="182" width="10.77734375" customWidth="1"/>
    <col min="183" max="183" width="8.88671875" customWidth="1"/>
    <col min="184" max="184" width="18.6640625" customWidth="1"/>
    <col min="185" max="185" width="12.77734375" hidden="1" customWidth="1"/>
    <col min="186" max="186" width="7" hidden="1" customWidth="1"/>
    <col min="187" max="187" width="11.21875" hidden="1" customWidth="1"/>
    <col min="188" max="214" width="7" hidden="1" customWidth="1"/>
  </cols>
  <sheetData>
    <row r="1" spans="1:239" s="73" customFormat="1" ht="19.95" customHeight="1" x14ac:dyDescent="0.3">
      <c r="A1" s="226" t="str">
        <f>Activities!A1</f>
        <v>No.</v>
      </c>
      <c r="B1" s="221" t="str">
        <f>Activities!B1</f>
        <v>List of Topics</v>
      </c>
      <c r="C1" s="221" t="s">
        <v>21</v>
      </c>
      <c r="D1" s="16" t="str">
        <f>K_1</f>
        <v>K1</v>
      </c>
      <c r="E1" s="208" t="s">
        <v>68</v>
      </c>
      <c r="F1" s="209"/>
      <c r="G1" s="209"/>
      <c r="H1" s="209"/>
      <c r="I1" s="209"/>
      <c r="J1" s="209"/>
      <c r="K1" s="209"/>
      <c r="L1" s="209"/>
      <c r="M1" s="209"/>
      <c r="N1" s="210"/>
      <c r="O1" s="16" t="str">
        <f>K_2</f>
        <v>K2</v>
      </c>
      <c r="P1" s="208" t="str">
        <f>$E$1</f>
        <v>Activities</v>
      </c>
      <c r="Q1" s="209"/>
      <c r="R1" s="209"/>
      <c r="S1" s="209"/>
      <c r="T1" s="209"/>
      <c r="U1" s="209"/>
      <c r="V1" s="209"/>
      <c r="W1" s="209"/>
      <c r="X1" s="209"/>
      <c r="Y1" s="210"/>
      <c r="Z1" s="16" t="str">
        <f>K_3</f>
        <v>K3</v>
      </c>
      <c r="AA1" s="208" t="str">
        <f>$E$1</f>
        <v>Activities</v>
      </c>
      <c r="AB1" s="209"/>
      <c r="AC1" s="209"/>
      <c r="AD1" s="209"/>
      <c r="AE1" s="209"/>
      <c r="AF1" s="209"/>
      <c r="AG1" s="209"/>
      <c r="AH1" s="209"/>
      <c r="AI1" s="209"/>
      <c r="AJ1" s="210"/>
      <c r="AK1" s="16" t="str">
        <f>K_4</f>
        <v>K4</v>
      </c>
      <c r="AL1" s="208" t="str">
        <f>$E$1</f>
        <v>Activities</v>
      </c>
      <c r="AM1" s="209"/>
      <c r="AN1" s="209"/>
      <c r="AO1" s="209"/>
      <c r="AP1" s="209"/>
      <c r="AQ1" s="209"/>
      <c r="AR1" s="209"/>
      <c r="AS1" s="209"/>
      <c r="AT1" s="209"/>
      <c r="AU1" s="210"/>
      <c r="AV1" s="16" t="str">
        <f>S_1</f>
        <v>S1</v>
      </c>
      <c r="AW1" s="208" t="str">
        <f>$E$1</f>
        <v>Activities</v>
      </c>
      <c r="AX1" s="209"/>
      <c r="AY1" s="209"/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16" t="str">
        <f>S_2</f>
        <v>S2</v>
      </c>
      <c r="BK1" s="208" t="str">
        <f>$E$1</f>
        <v>Activities</v>
      </c>
      <c r="BL1" s="209"/>
      <c r="BM1" s="209"/>
      <c r="BN1" s="209"/>
      <c r="BO1" s="209"/>
      <c r="BP1" s="209"/>
      <c r="BQ1" s="209"/>
      <c r="BR1" s="209"/>
      <c r="BS1" s="209"/>
      <c r="BT1" s="209"/>
      <c r="BU1" s="209"/>
      <c r="BV1" s="209"/>
      <c r="BW1" s="210"/>
      <c r="BX1" s="16" t="str">
        <f>S_3</f>
        <v>S3</v>
      </c>
      <c r="BY1" s="208" t="str">
        <f>$E$1</f>
        <v>Activities</v>
      </c>
      <c r="BZ1" s="209"/>
      <c r="CA1" s="209"/>
      <c r="CB1" s="209"/>
      <c r="CC1" s="209"/>
      <c r="CD1" s="209"/>
      <c r="CE1" s="209"/>
      <c r="CF1" s="209"/>
      <c r="CG1" s="209"/>
      <c r="CH1" s="209"/>
      <c r="CI1" s="209"/>
      <c r="CJ1" s="209"/>
      <c r="CK1" s="210"/>
      <c r="CL1" s="16" t="str">
        <f>S_4</f>
        <v>S4</v>
      </c>
      <c r="CM1" s="208" t="str">
        <f>$E$1</f>
        <v>Activities</v>
      </c>
      <c r="CN1" s="209"/>
      <c r="CO1" s="209"/>
      <c r="CP1" s="209"/>
      <c r="CQ1" s="209"/>
      <c r="CR1" s="209"/>
      <c r="CS1" s="209"/>
      <c r="CT1" s="209"/>
      <c r="CU1" s="209"/>
      <c r="CV1" s="209"/>
      <c r="CW1" s="209"/>
      <c r="CX1" s="209"/>
      <c r="CY1" s="210"/>
      <c r="CZ1" s="16" t="str">
        <f>S_5</f>
        <v>S5</v>
      </c>
      <c r="DA1" s="208" t="str">
        <f>$E$1</f>
        <v>Activities</v>
      </c>
      <c r="DB1" s="209"/>
      <c r="DC1" s="209"/>
      <c r="DD1" s="209"/>
      <c r="DE1" s="209"/>
      <c r="DF1" s="209"/>
      <c r="DG1" s="209"/>
      <c r="DH1" s="209"/>
      <c r="DI1" s="209"/>
      <c r="DJ1" s="209"/>
      <c r="DK1" s="209"/>
      <c r="DL1" s="209"/>
      <c r="DM1" s="210"/>
      <c r="DN1" s="16" t="str">
        <f>S_6</f>
        <v>S6</v>
      </c>
      <c r="DO1" s="208" t="str">
        <f>$E$1</f>
        <v>Activities</v>
      </c>
      <c r="DP1" s="209"/>
      <c r="DQ1" s="209"/>
      <c r="DR1" s="209"/>
      <c r="DS1" s="209"/>
      <c r="DT1" s="209"/>
      <c r="DU1" s="209"/>
      <c r="DV1" s="209"/>
      <c r="DW1" s="209"/>
      <c r="DX1" s="209"/>
      <c r="DY1" s="209"/>
      <c r="DZ1" s="209"/>
      <c r="EA1" s="210"/>
      <c r="EB1" s="16" t="str">
        <f>S_7</f>
        <v>S7</v>
      </c>
      <c r="EC1" s="208" t="str">
        <f>$E$1</f>
        <v>Activities</v>
      </c>
      <c r="ED1" s="209"/>
      <c r="EE1" s="209"/>
      <c r="EF1" s="209"/>
      <c r="EG1" s="209"/>
      <c r="EH1" s="209"/>
      <c r="EI1" s="209"/>
      <c r="EJ1" s="209"/>
      <c r="EK1" s="210"/>
      <c r="EL1" s="16" t="str">
        <f>V_1</f>
        <v>V1</v>
      </c>
      <c r="EM1" s="208" t="str">
        <f>$E$1</f>
        <v>Activities</v>
      </c>
      <c r="EN1" s="209"/>
      <c r="EO1" s="209"/>
      <c r="EP1" s="209"/>
      <c r="EQ1" s="209"/>
      <c r="ER1" s="209"/>
      <c r="ES1" s="209"/>
      <c r="ET1" s="209"/>
      <c r="EU1" s="210"/>
      <c r="EV1" s="16" t="str">
        <f>V_2</f>
        <v>V2</v>
      </c>
      <c r="EW1" s="208" t="str">
        <f>$E$1</f>
        <v>Activities</v>
      </c>
      <c r="EX1" s="209"/>
      <c r="EY1" s="209"/>
      <c r="EZ1" s="209"/>
      <c r="FA1" s="209"/>
      <c r="FB1" s="209"/>
      <c r="FC1" s="209"/>
      <c r="FD1" s="209"/>
      <c r="FE1" s="210"/>
      <c r="FF1" s="16" t="str">
        <f>V_3</f>
        <v>V3</v>
      </c>
      <c r="FG1" s="208" t="str">
        <f>$E$1</f>
        <v>Activities</v>
      </c>
      <c r="FH1" s="209"/>
      <c r="FI1" s="209"/>
      <c r="FJ1" s="209"/>
      <c r="FK1" s="209"/>
      <c r="FL1" s="209"/>
      <c r="FM1" s="209"/>
      <c r="FN1" s="209"/>
      <c r="FO1" s="210"/>
      <c r="FP1" s="16" t="str">
        <f>V_4</f>
        <v>V4</v>
      </c>
      <c r="FQ1" s="208" t="str">
        <f>$E$1</f>
        <v>Activities</v>
      </c>
      <c r="FR1" s="209"/>
      <c r="FS1" s="209"/>
      <c r="FT1" s="209"/>
      <c r="FU1" s="209"/>
      <c r="FV1" s="209"/>
      <c r="FW1" s="209"/>
      <c r="FX1" s="209"/>
      <c r="FY1" s="210"/>
      <c r="FZ1" s="223" t="s">
        <v>107</v>
      </c>
      <c r="GA1" s="225"/>
      <c r="GB1" s="226" t="str">
        <f>Activities!A1</f>
        <v>No.</v>
      </c>
      <c r="GC1" s="213" t="str">
        <f>Exam_1</f>
        <v>First Exam</v>
      </c>
      <c r="GD1" s="200"/>
      <c r="GE1" s="199" t="str">
        <f>Exam_2</f>
        <v>Second Exam</v>
      </c>
      <c r="GF1" s="200"/>
      <c r="GG1" s="199" t="str">
        <f>Exam_3</f>
        <v>Final Exam</v>
      </c>
      <c r="GH1" s="200"/>
      <c r="GI1" s="199" t="str">
        <f>Exam_4</f>
        <v>Quizzes</v>
      </c>
      <c r="GJ1" s="200"/>
      <c r="GK1" s="199" t="str">
        <f>Exam_5</f>
        <v>Final Lab</v>
      </c>
      <c r="GL1" s="200"/>
      <c r="GM1" s="199" t="str">
        <f>Exam_6</f>
        <v>Exam6</v>
      </c>
      <c r="GN1" s="200"/>
      <c r="GO1" s="199" t="str">
        <f>Exam_7</f>
        <v>All_1</v>
      </c>
      <c r="GP1" s="200"/>
      <c r="GQ1" s="199" t="str">
        <f>Exam_8</f>
        <v>All_2</v>
      </c>
      <c r="GR1" s="200"/>
      <c r="GS1" s="199" t="str">
        <f>Exam_9</f>
        <v>All_3</v>
      </c>
      <c r="GT1" s="200"/>
      <c r="GU1" s="199" t="str">
        <f>Exam_10</f>
        <v>All_4</v>
      </c>
      <c r="GV1" s="200"/>
      <c r="GW1" s="199" t="str">
        <f>Exam_11</f>
        <v>Assignments</v>
      </c>
      <c r="GX1" s="200"/>
      <c r="GY1" s="199" t="str">
        <f>Exam_12</f>
        <v>Reports</v>
      </c>
      <c r="GZ1" s="200"/>
      <c r="HA1" s="199" t="str">
        <f>Exam_13</f>
        <v>Presentation</v>
      </c>
      <c r="HB1" s="200"/>
      <c r="HC1" s="199" t="str">
        <f>Exam_14</f>
        <v>Project</v>
      </c>
      <c r="HD1" s="200"/>
      <c r="HE1" s="199" t="str">
        <f>Exam_15</f>
        <v>Oral Presentation</v>
      </c>
      <c r="HF1" s="200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</row>
    <row r="2" spans="1:239" s="73" customFormat="1" ht="30" customHeight="1" thickBot="1" x14ac:dyDescent="0.35">
      <c r="A2" s="227"/>
      <c r="B2" s="222"/>
      <c r="C2" s="222"/>
      <c r="D2" s="17">
        <f>VK_1</f>
        <v>0</v>
      </c>
      <c r="E2" s="135" t="str">
        <f>IF(Exam_1="","",Exam_1)</f>
        <v>First Exam</v>
      </c>
      <c r="F2" s="135" t="str">
        <f>IF(Exam_2="","",Exam_2)</f>
        <v>Second Exam</v>
      </c>
      <c r="G2" s="135" t="str">
        <f>IF(Exam_3="","",Exam_3)</f>
        <v>Final Exam</v>
      </c>
      <c r="H2" s="135" t="str">
        <f>IF(Exam_4="","",Exam_4)</f>
        <v>Quizzes</v>
      </c>
      <c r="I2" s="135" t="str">
        <f>IF(Exam_5="","",Exam_5)</f>
        <v>Final Lab</v>
      </c>
      <c r="J2" s="135" t="str">
        <f>IF(Exam_6="","",Exam_6)</f>
        <v>Exam6</v>
      </c>
      <c r="K2" s="135" t="str">
        <f>IF(Exam_7="","",Exam_7)</f>
        <v>All_1</v>
      </c>
      <c r="L2" s="135" t="str">
        <f>IF(Exam_8="","",Exam_8)</f>
        <v>All_2</v>
      </c>
      <c r="M2" s="135" t="str">
        <f>IF(Exam_9="","",Exam_9)</f>
        <v>All_3</v>
      </c>
      <c r="N2" s="135" t="str">
        <f>IF(Exam_10="","",Exam_10)</f>
        <v>All_4</v>
      </c>
      <c r="O2" s="17">
        <f>VK_2</f>
        <v>0</v>
      </c>
      <c r="P2" s="135" t="str">
        <f>IF(Exam_1="","",Exam_1)</f>
        <v>First Exam</v>
      </c>
      <c r="Q2" s="135" t="str">
        <f>IF(Exam_2="","",Exam_2)</f>
        <v>Second Exam</v>
      </c>
      <c r="R2" s="135" t="str">
        <f>IF(Exam_3="","",Exam_3)</f>
        <v>Final Exam</v>
      </c>
      <c r="S2" s="135" t="str">
        <f>IF(Exam_4="","",Exam_4)</f>
        <v>Quizzes</v>
      </c>
      <c r="T2" s="135" t="str">
        <f>IF(Exam_5="","",Exam_5)</f>
        <v>Final Lab</v>
      </c>
      <c r="U2" s="135" t="str">
        <f>IF(Exam_6="","",Exam_6)</f>
        <v>Exam6</v>
      </c>
      <c r="V2" s="135" t="str">
        <f>IF(Exam_7="","",Exam_7)</f>
        <v>All_1</v>
      </c>
      <c r="W2" s="135" t="str">
        <f>IF(Exam_8="","",Exam_8)</f>
        <v>All_2</v>
      </c>
      <c r="X2" s="135" t="str">
        <f>IF(Exam_9="","",Exam_9)</f>
        <v>All_3</v>
      </c>
      <c r="Y2" s="135" t="str">
        <f>IF(Exam_10="","",Exam_10)</f>
        <v>All_4</v>
      </c>
      <c r="Z2" s="17">
        <f>VK_3</f>
        <v>0</v>
      </c>
      <c r="AA2" s="135" t="str">
        <f>IF(Exam_1="","",Exam_1)</f>
        <v>First Exam</v>
      </c>
      <c r="AB2" s="135" t="str">
        <f>IF(Exam_2="","",Exam_2)</f>
        <v>Second Exam</v>
      </c>
      <c r="AC2" s="135" t="str">
        <f>IF(Exam_3="","",Exam_3)</f>
        <v>Final Exam</v>
      </c>
      <c r="AD2" s="135" t="str">
        <f>IF(Exam_4="","",Exam_4)</f>
        <v>Quizzes</v>
      </c>
      <c r="AE2" s="135" t="str">
        <f>IF(Exam_5="","",Exam_5)</f>
        <v>Final Lab</v>
      </c>
      <c r="AF2" s="135" t="str">
        <f>IF(Exam_6="","",Exam_6)</f>
        <v>Exam6</v>
      </c>
      <c r="AG2" s="135" t="str">
        <f>IF(Exam_7="","",Exam_7)</f>
        <v>All_1</v>
      </c>
      <c r="AH2" s="135" t="str">
        <f>IF(Exam_8="","",Exam_8)</f>
        <v>All_2</v>
      </c>
      <c r="AI2" s="135" t="str">
        <f>IF(Exam_9="","",Exam_9)</f>
        <v>All_3</v>
      </c>
      <c r="AJ2" s="135" t="str">
        <f>IF(Exam_10="","",Exam_10)</f>
        <v>All_4</v>
      </c>
      <c r="AK2" s="17">
        <f>VK_4</f>
        <v>0</v>
      </c>
      <c r="AL2" s="135" t="str">
        <f>IF(Exam_1="","",Exam_1)</f>
        <v>First Exam</v>
      </c>
      <c r="AM2" s="135" t="str">
        <f>IF(Exam_2="","",Exam_2)</f>
        <v>Second Exam</v>
      </c>
      <c r="AN2" s="135" t="str">
        <f>IF(Exam_3="","",Exam_3)</f>
        <v>Final Exam</v>
      </c>
      <c r="AO2" s="135" t="str">
        <f>IF(Exam_4="","",Exam_4)</f>
        <v>Quizzes</v>
      </c>
      <c r="AP2" s="135" t="str">
        <f>IF(Exam_5="","",Exam_5)</f>
        <v>Final Lab</v>
      </c>
      <c r="AQ2" s="135" t="str">
        <f>IF(Exam_6="","",Exam_6)</f>
        <v>Exam6</v>
      </c>
      <c r="AR2" s="135" t="str">
        <f>IF(Exam_7="","",Exam_7)</f>
        <v>All_1</v>
      </c>
      <c r="AS2" s="135" t="str">
        <f>IF(Exam_8="","",Exam_8)</f>
        <v>All_2</v>
      </c>
      <c r="AT2" s="135" t="str">
        <f>IF(Exam_9="","",Exam_9)</f>
        <v>All_3</v>
      </c>
      <c r="AU2" s="135" t="str">
        <f>IF(Exam_10="","",Exam_10)</f>
        <v>All_4</v>
      </c>
      <c r="AV2" s="17">
        <f>VS_1</f>
        <v>0</v>
      </c>
      <c r="AW2" s="135" t="str">
        <f>IF(Exam_1="","",Exam_1)</f>
        <v>First Exam</v>
      </c>
      <c r="AX2" s="135" t="str">
        <f>IF(Exam_2="","",Exam_2)</f>
        <v>Second Exam</v>
      </c>
      <c r="AY2" s="135" t="str">
        <f>IF(Exam_3="","",Exam_3)</f>
        <v>Final Exam</v>
      </c>
      <c r="AZ2" s="135" t="str">
        <f>IF(Exam_4="","",Exam_4)</f>
        <v>Quizzes</v>
      </c>
      <c r="BA2" s="135" t="str">
        <f>IF(Exam_5="","",Exam_5)</f>
        <v>Final Lab</v>
      </c>
      <c r="BB2" s="135" t="str">
        <f>IF(Exam_6="","",Exam_6)</f>
        <v>Exam6</v>
      </c>
      <c r="BC2" s="135" t="str">
        <f>IF(Exam_7="","",Exam_7)</f>
        <v>All_1</v>
      </c>
      <c r="BD2" s="135" t="str">
        <f>IF(Exam_8="","",Exam_8)</f>
        <v>All_2</v>
      </c>
      <c r="BE2" s="135" t="str">
        <f>IF(Exam_9="","",Exam_9)</f>
        <v>All_3</v>
      </c>
      <c r="BF2" s="135" t="str">
        <f>IF(Exam_10="","",Exam_10)</f>
        <v>All_4</v>
      </c>
      <c r="BG2" s="135" t="str">
        <f>IF(Exam_11="","",Exam_11)</f>
        <v>Assignments</v>
      </c>
      <c r="BH2" s="135" t="str">
        <f>IF(Exam_12="","",Exam_12)</f>
        <v>Reports</v>
      </c>
      <c r="BI2" s="135" t="str">
        <f>IF(Exam_13="","",Exam_13)</f>
        <v>Presentation</v>
      </c>
      <c r="BJ2" s="17">
        <f>VS_2</f>
        <v>0</v>
      </c>
      <c r="BK2" s="135" t="str">
        <f>IF(Exam_1="","",Exam_1)</f>
        <v>First Exam</v>
      </c>
      <c r="BL2" s="135" t="str">
        <f>IF(Exam_2="","",Exam_2)</f>
        <v>Second Exam</v>
      </c>
      <c r="BM2" s="135" t="str">
        <f>IF(Exam_3="","",Exam_3)</f>
        <v>Final Exam</v>
      </c>
      <c r="BN2" s="135" t="str">
        <f>IF(Exam_4="","",Exam_4)</f>
        <v>Quizzes</v>
      </c>
      <c r="BO2" s="135" t="str">
        <f>IF(Exam_5="","",Exam_5)</f>
        <v>Final Lab</v>
      </c>
      <c r="BP2" s="135" t="str">
        <f>IF(Exam_6="","",Exam_6)</f>
        <v>Exam6</v>
      </c>
      <c r="BQ2" s="135" t="str">
        <f>IF(Exam_7="","",Exam_7)</f>
        <v>All_1</v>
      </c>
      <c r="BR2" s="135" t="str">
        <f>IF(Exam_8="","",Exam_8)</f>
        <v>All_2</v>
      </c>
      <c r="BS2" s="135" t="str">
        <f>IF(Exam_9="","",Exam_9)</f>
        <v>All_3</v>
      </c>
      <c r="BT2" s="135" t="str">
        <f>IF(Exam_10="","",Exam_10)</f>
        <v>All_4</v>
      </c>
      <c r="BU2" s="135" t="str">
        <f>IF(Exam_11="","",Exam_11)</f>
        <v>Assignments</v>
      </c>
      <c r="BV2" s="135" t="str">
        <f>IF(Exam_12="","",Exam_12)</f>
        <v>Reports</v>
      </c>
      <c r="BW2" s="135" t="str">
        <f>IF(Exam_13="","",Exam_13)</f>
        <v>Presentation</v>
      </c>
      <c r="BX2" s="17">
        <f>VS_3</f>
        <v>0</v>
      </c>
      <c r="BY2" s="135" t="str">
        <f>IF(Exam_1="","",Exam_1)</f>
        <v>First Exam</v>
      </c>
      <c r="BZ2" s="135" t="str">
        <f>IF(Exam_2="","",Exam_2)</f>
        <v>Second Exam</v>
      </c>
      <c r="CA2" s="135" t="str">
        <f>IF(Exam_3="","",Exam_3)</f>
        <v>Final Exam</v>
      </c>
      <c r="CB2" s="135" t="str">
        <f>IF(Exam_4="","",Exam_4)</f>
        <v>Quizzes</v>
      </c>
      <c r="CC2" s="135" t="str">
        <f>IF(Exam_5="","",Exam_5)</f>
        <v>Final Lab</v>
      </c>
      <c r="CD2" s="135" t="str">
        <f>IF(Exam_6="","",Exam_6)</f>
        <v>Exam6</v>
      </c>
      <c r="CE2" s="135" t="str">
        <f>IF(Exam_7="","",Exam_7)</f>
        <v>All_1</v>
      </c>
      <c r="CF2" s="135" t="str">
        <f>IF(Exam_8="","",Exam_8)</f>
        <v>All_2</v>
      </c>
      <c r="CG2" s="135" t="str">
        <f>IF(Exam_9="","",Exam_9)</f>
        <v>All_3</v>
      </c>
      <c r="CH2" s="135" t="str">
        <f>IF(Exam_10="","",Exam_10)</f>
        <v>All_4</v>
      </c>
      <c r="CI2" s="135" t="str">
        <f>IF(Exam_11="","",Exam_11)</f>
        <v>Assignments</v>
      </c>
      <c r="CJ2" s="135" t="str">
        <f>IF(Exam_12="","",Exam_12)</f>
        <v>Reports</v>
      </c>
      <c r="CK2" s="135" t="str">
        <f>IF(Exam_13="","",Exam_13)</f>
        <v>Presentation</v>
      </c>
      <c r="CL2" s="17">
        <f>VS_4</f>
        <v>0</v>
      </c>
      <c r="CM2" s="135" t="str">
        <f>IF(Exam_1="","",Exam_1)</f>
        <v>First Exam</v>
      </c>
      <c r="CN2" s="135" t="str">
        <f>IF(Exam_2="","",Exam_2)</f>
        <v>Second Exam</v>
      </c>
      <c r="CO2" s="135" t="str">
        <f>IF(Exam_3="","",Exam_3)</f>
        <v>Final Exam</v>
      </c>
      <c r="CP2" s="135" t="str">
        <f>IF(Exam_4="","",Exam_4)</f>
        <v>Quizzes</v>
      </c>
      <c r="CQ2" s="135" t="str">
        <f>IF(Exam_5="","",Exam_5)</f>
        <v>Final Lab</v>
      </c>
      <c r="CR2" s="135" t="str">
        <f>IF(Exam_6="","",Exam_6)</f>
        <v>Exam6</v>
      </c>
      <c r="CS2" s="135" t="str">
        <f>IF(Exam_7="","",Exam_7)</f>
        <v>All_1</v>
      </c>
      <c r="CT2" s="135" t="str">
        <f>IF(Exam_8="","",Exam_8)</f>
        <v>All_2</v>
      </c>
      <c r="CU2" s="135" t="str">
        <f>IF(Exam_9="","",Exam_9)</f>
        <v>All_3</v>
      </c>
      <c r="CV2" s="135" t="str">
        <f>IF(Exam_10="","",Exam_10)</f>
        <v>All_4</v>
      </c>
      <c r="CW2" s="135" t="str">
        <f>IF(Exam_11="","",Exam_11)</f>
        <v>Assignments</v>
      </c>
      <c r="CX2" s="135" t="str">
        <f>IF(Exam_12="","",Exam_12)</f>
        <v>Reports</v>
      </c>
      <c r="CY2" s="135" t="str">
        <f>IF(Exam_13="","",Exam_13)</f>
        <v>Presentation</v>
      </c>
      <c r="CZ2" s="17">
        <f>VS_5</f>
        <v>0</v>
      </c>
      <c r="DA2" s="135" t="str">
        <f>IF(Exam_1="","",Exam_1)</f>
        <v>First Exam</v>
      </c>
      <c r="DB2" s="135" t="str">
        <f>IF(Exam_2="","",Exam_2)</f>
        <v>Second Exam</v>
      </c>
      <c r="DC2" s="135" t="str">
        <f>IF(Exam_3="","",Exam_3)</f>
        <v>Final Exam</v>
      </c>
      <c r="DD2" s="135" t="str">
        <f>IF(Exam_4="","",Exam_4)</f>
        <v>Quizzes</v>
      </c>
      <c r="DE2" s="135" t="str">
        <f>IF(Exam_5="","",Exam_5)</f>
        <v>Final Lab</v>
      </c>
      <c r="DF2" s="135" t="str">
        <f>IF(Exam_6="","",Exam_6)</f>
        <v>Exam6</v>
      </c>
      <c r="DG2" s="135" t="str">
        <f>IF(Exam_7="","",Exam_7)</f>
        <v>All_1</v>
      </c>
      <c r="DH2" s="135" t="str">
        <f>IF(Exam_8="","",Exam_8)</f>
        <v>All_2</v>
      </c>
      <c r="DI2" s="135" t="str">
        <f>IF(Exam_9="","",Exam_9)</f>
        <v>All_3</v>
      </c>
      <c r="DJ2" s="135" t="str">
        <f>IF(Exam_10="","",Exam_10)</f>
        <v>All_4</v>
      </c>
      <c r="DK2" s="135" t="str">
        <f>IF(Exam_11="","",Exam_11)</f>
        <v>Assignments</v>
      </c>
      <c r="DL2" s="135" t="str">
        <f>IF(Exam_12="","",Exam_12)</f>
        <v>Reports</v>
      </c>
      <c r="DM2" s="135" t="str">
        <f>IF(Exam_13="","",Exam_13)</f>
        <v>Presentation</v>
      </c>
      <c r="DN2" s="17">
        <f>VS_6</f>
        <v>0</v>
      </c>
      <c r="DO2" s="135" t="str">
        <f>IF(Exam_1="","",Exam_1)</f>
        <v>First Exam</v>
      </c>
      <c r="DP2" s="135" t="str">
        <f>IF(Exam_2="","",Exam_2)</f>
        <v>Second Exam</v>
      </c>
      <c r="DQ2" s="135" t="str">
        <f>IF(Exam_3="","",Exam_3)</f>
        <v>Final Exam</v>
      </c>
      <c r="DR2" s="135" t="str">
        <f>IF(Exam_4="","",Exam_4)</f>
        <v>Quizzes</v>
      </c>
      <c r="DS2" s="135" t="str">
        <f>IF(Exam_5="","",Exam_5)</f>
        <v>Final Lab</v>
      </c>
      <c r="DT2" s="135" t="str">
        <f>IF(Exam_6="","",Exam_6)</f>
        <v>Exam6</v>
      </c>
      <c r="DU2" s="135" t="str">
        <f>IF(Exam_7="","",Exam_7)</f>
        <v>All_1</v>
      </c>
      <c r="DV2" s="135" t="str">
        <f>IF(Exam_8="","",Exam_8)</f>
        <v>All_2</v>
      </c>
      <c r="DW2" s="135" t="str">
        <f>IF(Exam_9="","",Exam_9)</f>
        <v>All_3</v>
      </c>
      <c r="DX2" s="135" t="str">
        <f>IF(Exam_10="","",Exam_10)</f>
        <v>All_4</v>
      </c>
      <c r="DY2" s="135" t="str">
        <f>IF(Exam_11="","",Exam_11)</f>
        <v>Assignments</v>
      </c>
      <c r="DZ2" s="135" t="str">
        <f>IF(Exam_12="","",Exam_12)</f>
        <v>Reports</v>
      </c>
      <c r="EA2" s="135" t="str">
        <f>IF(Exam_13="","",Exam_13)</f>
        <v>Presentation</v>
      </c>
      <c r="EB2" s="17">
        <f>VS_7</f>
        <v>0</v>
      </c>
      <c r="EC2" s="135" t="str">
        <f>IF(Exam_7="","",Exam_7)</f>
        <v>All_1</v>
      </c>
      <c r="ED2" s="135" t="str">
        <f>IF(Exam_8="","",Exam_8)</f>
        <v>All_2</v>
      </c>
      <c r="EE2" s="135" t="str">
        <f>IF(Exam_9="","",Exam_9)</f>
        <v>All_3</v>
      </c>
      <c r="EF2" s="135" t="str">
        <f>IF(Exam_10="","",Exam_10)</f>
        <v>All_4</v>
      </c>
      <c r="EG2" s="135" t="str">
        <f>IF(Exam_11="","",Exam_11)</f>
        <v>Assignments</v>
      </c>
      <c r="EH2" s="135" t="str">
        <f>IF(Exam_12="","",Exam_12)</f>
        <v>Reports</v>
      </c>
      <c r="EI2" s="135" t="str">
        <f>IF(Exam_13="","",Exam_13)</f>
        <v>Presentation</v>
      </c>
      <c r="EJ2" s="135" t="str">
        <f>IF(Exam_14="","",Exam_14)</f>
        <v>Project</v>
      </c>
      <c r="EK2" s="135" t="str">
        <f>IF(Exam_15="","",Exam_15)</f>
        <v>Oral Presentation</v>
      </c>
      <c r="EL2" s="17">
        <f>VV_1</f>
        <v>0</v>
      </c>
      <c r="EM2" s="135" t="str">
        <f>IF(Exam_7="","",Exam_7)</f>
        <v>All_1</v>
      </c>
      <c r="EN2" s="135" t="str">
        <f>IF(Exam_8="","",Exam_8)</f>
        <v>All_2</v>
      </c>
      <c r="EO2" s="135" t="str">
        <f>IF(Exam_9="","",Exam_9)</f>
        <v>All_3</v>
      </c>
      <c r="EP2" s="135" t="str">
        <f>IF(Exam_10="","",Exam_10)</f>
        <v>All_4</v>
      </c>
      <c r="EQ2" s="135" t="str">
        <f>IF(Exam_11="","",Exam_11)</f>
        <v>Assignments</v>
      </c>
      <c r="ER2" s="135" t="str">
        <f>IF(Exam_12="","",Exam_12)</f>
        <v>Reports</v>
      </c>
      <c r="ES2" s="135" t="str">
        <f>IF(Exam_13="","",Exam_13)</f>
        <v>Presentation</v>
      </c>
      <c r="ET2" s="135" t="str">
        <f>IF(Exam_14="","",Exam_14)</f>
        <v>Project</v>
      </c>
      <c r="EU2" s="135" t="str">
        <f>IF(Exam_15="","",Exam_15)</f>
        <v>Oral Presentation</v>
      </c>
      <c r="EV2" s="17">
        <f>VV_2</f>
        <v>0</v>
      </c>
      <c r="EW2" s="135" t="str">
        <f>IF(Exam_7="","",Exam_7)</f>
        <v>All_1</v>
      </c>
      <c r="EX2" s="135" t="str">
        <f>IF(Exam_8="","",Exam_8)</f>
        <v>All_2</v>
      </c>
      <c r="EY2" s="135" t="str">
        <f>IF(Exam_9="","",Exam_9)</f>
        <v>All_3</v>
      </c>
      <c r="EZ2" s="135" t="str">
        <f>IF(Exam_10="","",Exam_10)</f>
        <v>All_4</v>
      </c>
      <c r="FA2" s="135" t="str">
        <f>IF(Exam_11="","",Exam_11)</f>
        <v>Assignments</v>
      </c>
      <c r="FB2" s="135" t="str">
        <f>IF(Exam_12="","",Exam_12)</f>
        <v>Reports</v>
      </c>
      <c r="FC2" s="135" t="str">
        <f>IF(Exam_13="","",Exam_13)</f>
        <v>Presentation</v>
      </c>
      <c r="FD2" s="135" t="str">
        <f>IF(Exam_14="","",Exam_14)</f>
        <v>Project</v>
      </c>
      <c r="FE2" s="135" t="str">
        <f>IF(Exam_15="","",Exam_15)</f>
        <v>Oral Presentation</v>
      </c>
      <c r="FF2" s="17">
        <f>VV_3</f>
        <v>0</v>
      </c>
      <c r="FG2" s="135" t="str">
        <f>IF(Exam_7="","",Exam_7)</f>
        <v>All_1</v>
      </c>
      <c r="FH2" s="135" t="str">
        <f>IF(Exam_8="","",Exam_8)</f>
        <v>All_2</v>
      </c>
      <c r="FI2" s="135" t="str">
        <f>IF(Exam_9="","",Exam_9)</f>
        <v>All_3</v>
      </c>
      <c r="FJ2" s="135" t="str">
        <f>IF(Exam_10="","",Exam_10)</f>
        <v>All_4</v>
      </c>
      <c r="FK2" s="135" t="str">
        <f>IF(Exam_11="","",Exam_11)</f>
        <v>Assignments</v>
      </c>
      <c r="FL2" s="135" t="str">
        <f>IF(Exam_12="","",Exam_12)</f>
        <v>Reports</v>
      </c>
      <c r="FM2" s="135" t="str">
        <f>IF(Exam_13="","",Exam_13)</f>
        <v>Presentation</v>
      </c>
      <c r="FN2" s="135" t="str">
        <f>IF(Exam_14="","",Exam_14)</f>
        <v>Project</v>
      </c>
      <c r="FO2" s="135" t="str">
        <f>IF(Exam_15="","",Exam_15)</f>
        <v>Oral Presentation</v>
      </c>
      <c r="FP2" s="17">
        <f>VV_4</f>
        <v>0</v>
      </c>
      <c r="FQ2" s="135" t="str">
        <f>IF(Exam_7="","",Exam_7)</f>
        <v>All_1</v>
      </c>
      <c r="FR2" s="135" t="str">
        <f>IF(Exam_8="","",Exam_8)</f>
        <v>All_2</v>
      </c>
      <c r="FS2" s="135" t="str">
        <f>IF(Exam_9="","",Exam_9)</f>
        <v>All_3</v>
      </c>
      <c r="FT2" s="135" t="str">
        <f>IF(Exam_10="","",Exam_10)</f>
        <v>All_4</v>
      </c>
      <c r="FU2" s="135" t="str">
        <f>IF(Exam_11="","",Exam_11)</f>
        <v>Assignments</v>
      </c>
      <c r="FV2" s="135" t="str">
        <f>IF(Exam_12="","",Exam_12)</f>
        <v>Reports</v>
      </c>
      <c r="FW2" s="135" t="str">
        <f>IF(Exam_13="","",Exam_13)</f>
        <v>Presentation</v>
      </c>
      <c r="FX2" s="135" t="str">
        <f>IF(Exam_14="","",Exam_14)</f>
        <v>Project</v>
      </c>
      <c r="FY2" s="135" t="str">
        <f>IF(Exam_15="","",Exam_15)</f>
        <v>Oral Presentation</v>
      </c>
      <c r="FZ2" s="224"/>
      <c r="GA2" s="225"/>
      <c r="GB2" s="227"/>
      <c r="GC2" s="214"/>
      <c r="GD2" s="204"/>
      <c r="GE2" s="203"/>
      <c r="GF2" s="204"/>
      <c r="GG2" s="203"/>
      <c r="GH2" s="204"/>
      <c r="GI2" s="203"/>
      <c r="GJ2" s="204"/>
      <c r="GK2" s="203"/>
      <c r="GL2" s="204"/>
      <c r="GM2" s="203"/>
      <c r="GN2" s="204"/>
      <c r="GO2" s="203"/>
      <c r="GP2" s="204"/>
      <c r="GQ2" s="201"/>
      <c r="GR2" s="202"/>
      <c r="GS2" s="201"/>
      <c r="GT2" s="202"/>
      <c r="GU2" s="201"/>
      <c r="GV2" s="202"/>
      <c r="GW2" s="201"/>
      <c r="GX2" s="202"/>
      <c r="GY2" s="201"/>
      <c r="GZ2" s="202"/>
      <c r="HA2" s="201"/>
      <c r="HB2" s="202"/>
      <c r="HC2" s="201"/>
      <c r="HD2" s="202"/>
      <c r="HE2" s="201"/>
      <c r="HF2" s="20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</row>
    <row r="3" spans="1:239" s="74" customFormat="1" ht="22.05" customHeight="1" x14ac:dyDescent="0.35">
      <c r="A3" s="34">
        <v>1</v>
      </c>
      <c r="B3" s="133" t="str">
        <f>IF(Top_1="","",Top_1)</f>
        <v/>
      </c>
      <c r="C3" s="17" t="str">
        <f>IF(TopV_1="","",TopV_1)</f>
        <v/>
      </c>
      <c r="D3" s="34">
        <f>Topics!F3</f>
        <v>0</v>
      </c>
      <c r="E3" s="36"/>
      <c r="F3" s="36"/>
      <c r="G3" s="36"/>
      <c r="H3" s="36"/>
      <c r="I3" s="36"/>
      <c r="J3" s="36"/>
      <c r="K3" s="36"/>
      <c r="L3" s="36"/>
      <c r="M3" s="36"/>
      <c r="N3" s="36"/>
      <c r="O3" s="34">
        <f>Topics!G3</f>
        <v>0</v>
      </c>
      <c r="P3" s="36"/>
      <c r="Q3" s="36"/>
      <c r="R3" s="36"/>
      <c r="S3" s="36"/>
      <c r="T3" s="36"/>
      <c r="U3" s="36"/>
      <c r="V3" s="36"/>
      <c r="W3" s="36"/>
      <c r="X3" s="36"/>
      <c r="Y3" s="36"/>
      <c r="Z3" s="34">
        <f>Topics!H3</f>
        <v>0</v>
      </c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4">
        <f>Topics!I3</f>
        <v>0</v>
      </c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4">
        <f>Topics!J3</f>
        <v>0</v>
      </c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4">
        <f>Topics!K3</f>
        <v>0</v>
      </c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4">
        <f>Topics!L3</f>
        <v>0</v>
      </c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4">
        <f>Topics!M3</f>
        <v>0</v>
      </c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4">
        <f>Topics!N3</f>
        <v>0</v>
      </c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4">
        <f>Topics!O3</f>
        <v>0</v>
      </c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4">
        <f>Topics!P3</f>
        <v>0</v>
      </c>
      <c r="EC3" s="36"/>
      <c r="ED3" s="36"/>
      <c r="EE3" s="36"/>
      <c r="EF3" s="36"/>
      <c r="EG3" s="36"/>
      <c r="EH3" s="36"/>
      <c r="EI3" s="36"/>
      <c r="EJ3" s="36"/>
      <c r="EK3" s="36"/>
      <c r="EL3" s="34">
        <f>Topics!Q3</f>
        <v>0</v>
      </c>
      <c r="EM3" s="36"/>
      <c r="EN3" s="36"/>
      <c r="EO3" s="36"/>
      <c r="EP3" s="36"/>
      <c r="EQ3" s="36"/>
      <c r="ER3" s="36"/>
      <c r="ES3" s="36"/>
      <c r="ET3" s="36"/>
      <c r="EU3" s="36"/>
      <c r="EV3" s="34">
        <f>Topics!R3</f>
        <v>0</v>
      </c>
      <c r="EW3" s="36"/>
      <c r="EX3" s="36"/>
      <c r="EY3" s="36"/>
      <c r="EZ3" s="36"/>
      <c r="FA3" s="36"/>
      <c r="FB3" s="36"/>
      <c r="FC3" s="36"/>
      <c r="FD3" s="36"/>
      <c r="FE3" s="36"/>
      <c r="FF3" s="34">
        <f>Topics!S3</f>
        <v>0</v>
      </c>
      <c r="FG3" s="36"/>
      <c r="FH3" s="36"/>
      <c r="FI3" s="36"/>
      <c r="FJ3" s="36"/>
      <c r="FK3" s="36"/>
      <c r="FL3" s="36"/>
      <c r="FM3" s="36"/>
      <c r="FN3" s="36"/>
      <c r="FO3" s="36"/>
      <c r="FP3" s="34">
        <f>Topics!T3</f>
        <v>0</v>
      </c>
      <c r="FQ3" s="36"/>
      <c r="FR3" s="36"/>
      <c r="FS3" s="36"/>
      <c r="FT3" s="36"/>
      <c r="FU3" s="36"/>
      <c r="FV3" s="36"/>
      <c r="FW3" s="36"/>
      <c r="FX3" s="36"/>
      <c r="FY3" s="36"/>
      <c r="FZ3" s="33" t="str">
        <f t="shared" ref="FZ3:FZ32" si="0">IF(C3=SUM(E3:N3,P3:Y3,AA3:AJ3,AL3:AU3,AW3:BI3,BK3:BW3,BY3:CK3,CM3:CY3,DA3:DM3,DO3:EA3,EC3:EK3,EM3:EU3,EW3:FE3,FG3:FO3,FQ3:FY3),"Ok","Error")</f>
        <v>Error</v>
      </c>
      <c r="GA3" s="225"/>
      <c r="GB3" s="34">
        <f t="shared" ref="GB3:GB32" si="1">A3</f>
        <v>1</v>
      </c>
      <c r="GC3" s="19">
        <f t="shared" ref="GC3:GC32" si="2">SUM(E3,P3,AA3,AL3,AW3,BK3,BY3,CM3,DA3,DO3)</f>
        <v>0</v>
      </c>
      <c r="GD3" s="33" t="str">
        <f>IF(Activities!D3=GC3,"OK","Error")</f>
        <v>OK</v>
      </c>
      <c r="GE3" s="19">
        <f t="shared" ref="GE3:GE32" si="3">SUM(F3,Q3,AB3,AM3,AX3,BL3,BZ3,CN3,DB3,DP3)</f>
        <v>0</v>
      </c>
      <c r="GF3" s="33" t="str">
        <f>IF(Activities!E3=GE3,"OK","Error")</f>
        <v>OK</v>
      </c>
      <c r="GG3" s="19">
        <f t="shared" ref="GG3:GG32" si="4">SUM(G3,R3,AC3,AN3,AY3,BM3,CA3,CO3,DC3,DQ3)</f>
        <v>0</v>
      </c>
      <c r="GH3" s="33" t="str">
        <f>IF(Activities!F3=GG3,"OK","Error")</f>
        <v>OK</v>
      </c>
      <c r="GI3" s="19">
        <f t="shared" ref="GI3:GI32" si="5">SUM(H3,S3,AD3,AO3,AZ3,BN3,CB3,CP3,DD3,DR3)</f>
        <v>0</v>
      </c>
      <c r="GJ3" s="33" t="str">
        <f>IF(Activities!G3=GI3,"OK","Error")</f>
        <v>OK</v>
      </c>
      <c r="GK3" s="19">
        <f t="shared" ref="GK3:GK32" si="6">SUM(I3,T3,AE3,AP3,BA3,BO3,CC3,CQ3,DE3,DS3)</f>
        <v>0</v>
      </c>
      <c r="GL3" s="33" t="str">
        <f>IF(Activities!H3=GK3,"OK","Error")</f>
        <v>OK</v>
      </c>
      <c r="GM3" s="19">
        <f t="shared" ref="GM3:GM32" si="7">SUM(J3,U3,AF3,AQ3,BB3,BP3,CD3,CR3,DF3,DT3)</f>
        <v>0</v>
      </c>
      <c r="GN3" s="33" t="str">
        <f>IF(Activities!I3=GM3,"OK","Error")</f>
        <v>OK</v>
      </c>
      <c r="GO3" s="19">
        <f t="shared" ref="GO3:GO32" si="8">SUM(K3,V3,AG3,AR3,BC3,BQ3,CE3,CS3,DG3,DU3,EC3,EM3,EW3,FG3,FQ3)</f>
        <v>0</v>
      </c>
      <c r="GP3" s="33" t="str">
        <f>IF(Activities!J3=GO3,"OK","Error")</f>
        <v>OK</v>
      </c>
      <c r="GQ3" s="19">
        <f t="shared" ref="GQ3:GQ32" si="9">SUM(L3,W3,AH3,AS3,BD3,BR3,CF3,CT3,DH3,DV3,ED3,EN3,EX3,FH3,FR3)</f>
        <v>0</v>
      </c>
      <c r="GR3" s="33" t="str">
        <f>IF(Activities!K3=GQ3,"OK","Error")</f>
        <v>OK</v>
      </c>
      <c r="GS3" s="19">
        <f t="shared" ref="GS3:GS32" si="10">SUM(M3,X3,AI3,AT3,BE3,BS3,CG3,CU3,DI3,DW3,EE3,EO3,EY3,FI3,FS3)</f>
        <v>0</v>
      </c>
      <c r="GT3" s="33" t="str">
        <f>IF(Activities!L3=GS3,"OK","Error")</f>
        <v>OK</v>
      </c>
      <c r="GU3" s="19">
        <f t="shared" ref="GU3:GU32" si="11">SUM(N3,Y3,AJ3,AU3,BF3,BT3,CH3,CV3,DJ3,DX3,EF3,EP3,EZ3,FJ3,FT3)</f>
        <v>0</v>
      </c>
      <c r="GV3" s="33" t="str">
        <f>IF(Activities!M3=GU3,"OK","Error")</f>
        <v>OK</v>
      </c>
      <c r="GW3" s="19">
        <f t="shared" ref="GW3:GW32" si="12">SUM(BG3,BU3,CI3,CW3,DK3,DY3,EG3,EQ3,FA3,FK3,FU3)</f>
        <v>0</v>
      </c>
      <c r="GX3" s="33" t="str">
        <f>IF(Activities!N3=GW3,"OK","Error")</f>
        <v>OK</v>
      </c>
      <c r="GY3" s="19">
        <f t="shared" ref="GY3:GY32" si="13">SUM(BH3,BV3,CJ3,CX3,DL3,DZ3,EH3,ER3,FB3,FL3,FV3)</f>
        <v>0</v>
      </c>
      <c r="GZ3" s="33" t="str">
        <f>IF(Activities!O3=GY3,"OK","Error")</f>
        <v>OK</v>
      </c>
      <c r="HA3" s="19">
        <f t="shared" ref="HA3:HA32" si="14">SUM(BI3,BW3,CK3,CY3,DM3,EA3,EI3,ES3,FC3,FM3,FW3)</f>
        <v>0</v>
      </c>
      <c r="HB3" s="33" t="str">
        <f>IF(Activities!P3=HA3,"OK","Error")</f>
        <v>OK</v>
      </c>
      <c r="HC3" s="19">
        <f t="shared" ref="HC3:HC32" si="15">SUM(EJ3,ET3,FD3,FN3,FX3)</f>
        <v>0</v>
      </c>
      <c r="HD3" s="33" t="str">
        <f>IF(Activities!Q3=HC3,"OK","Error")</f>
        <v>OK</v>
      </c>
      <c r="HE3" s="19">
        <f t="shared" ref="HE3:HE32" si="16">SUM(EK3,EU3,FE3,FO3,FY3)</f>
        <v>0</v>
      </c>
      <c r="HF3" s="33" t="str">
        <f>IF(Activities!R3=HE3,"OK","Error")</f>
        <v>OK</v>
      </c>
      <c r="HG3"/>
      <c r="HH3"/>
      <c r="HI3" s="2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</row>
    <row r="4" spans="1:239" s="74" customFormat="1" ht="22.05" hidden="1" customHeight="1" x14ac:dyDescent="0.35">
      <c r="A4" s="34">
        <v>2</v>
      </c>
      <c r="B4" s="134" t="str">
        <f>IF(Top_2="","",Top_2)</f>
        <v/>
      </c>
      <c r="C4" s="20" t="str">
        <f>IF(TopV_2="","",TopV_2)</f>
        <v/>
      </c>
      <c r="D4" s="34">
        <f>Topics!F4</f>
        <v>0</v>
      </c>
      <c r="E4" s="37"/>
      <c r="F4" s="37"/>
      <c r="G4" s="37"/>
      <c r="H4" s="37"/>
      <c r="I4" s="37"/>
      <c r="J4" s="37"/>
      <c r="K4" s="37"/>
      <c r="L4" s="37"/>
      <c r="M4" s="37"/>
      <c r="N4" s="37"/>
      <c r="O4" s="34">
        <f>Topics!G4</f>
        <v>0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4">
        <f>Topics!H4</f>
        <v>0</v>
      </c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4">
        <f>Topics!I4</f>
        <v>0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4">
        <f>Topics!J4</f>
        <v>0</v>
      </c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4">
        <f>Topics!K4</f>
        <v>0</v>
      </c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4">
        <f>Topics!L4</f>
        <v>0</v>
      </c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4">
        <f>Topics!M4</f>
        <v>0</v>
      </c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4">
        <f>Topics!N4</f>
        <v>0</v>
      </c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4">
        <f>Topics!O4</f>
        <v>0</v>
      </c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4">
        <f>Topics!P4</f>
        <v>0</v>
      </c>
      <c r="EC4" s="37"/>
      <c r="ED4" s="37"/>
      <c r="EE4" s="37"/>
      <c r="EF4" s="37"/>
      <c r="EG4" s="37"/>
      <c r="EH4" s="37"/>
      <c r="EI4" s="37"/>
      <c r="EJ4" s="37"/>
      <c r="EK4" s="37"/>
      <c r="EL4" s="34">
        <f>Topics!Q4</f>
        <v>0</v>
      </c>
      <c r="EM4" s="37"/>
      <c r="EN4" s="37"/>
      <c r="EO4" s="37"/>
      <c r="EP4" s="37"/>
      <c r="EQ4" s="37"/>
      <c r="ER4" s="37"/>
      <c r="ES4" s="37"/>
      <c r="ET4" s="37"/>
      <c r="EU4" s="37"/>
      <c r="EV4" s="34">
        <f>Topics!R4</f>
        <v>0</v>
      </c>
      <c r="EW4" s="37"/>
      <c r="EX4" s="37"/>
      <c r="EY4" s="37"/>
      <c r="EZ4" s="37"/>
      <c r="FA4" s="37"/>
      <c r="FB4" s="37"/>
      <c r="FC4" s="37"/>
      <c r="FD4" s="37"/>
      <c r="FE4" s="37"/>
      <c r="FF4" s="34">
        <f>Topics!S4</f>
        <v>0</v>
      </c>
      <c r="FG4" s="37"/>
      <c r="FH4" s="37"/>
      <c r="FI4" s="37"/>
      <c r="FJ4" s="37"/>
      <c r="FK4" s="37"/>
      <c r="FL4" s="37"/>
      <c r="FM4" s="37"/>
      <c r="FN4" s="37"/>
      <c r="FO4" s="37"/>
      <c r="FP4" s="34">
        <f>Topics!T4</f>
        <v>0</v>
      </c>
      <c r="FQ4" s="37"/>
      <c r="FR4" s="37"/>
      <c r="FS4" s="37"/>
      <c r="FT4" s="37"/>
      <c r="FU4" s="37"/>
      <c r="FV4" s="37"/>
      <c r="FW4" s="37"/>
      <c r="FX4" s="37"/>
      <c r="FY4" s="37"/>
      <c r="FZ4" s="33" t="str">
        <f t="shared" si="0"/>
        <v>Error</v>
      </c>
      <c r="GA4" s="225"/>
      <c r="GB4" s="34">
        <f t="shared" si="1"/>
        <v>2</v>
      </c>
      <c r="GC4" s="19">
        <f t="shared" si="2"/>
        <v>0</v>
      </c>
      <c r="GD4" s="33" t="str">
        <f>IF(Activities!D4=GC4,"OK","Error")</f>
        <v>OK</v>
      </c>
      <c r="GE4" s="19">
        <f t="shared" si="3"/>
        <v>0</v>
      </c>
      <c r="GF4" s="33" t="str">
        <f>IF(Activities!E4=GE4,"OK","Error")</f>
        <v>OK</v>
      </c>
      <c r="GG4" s="19">
        <f t="shared" si="4"/>
        <v>0</v>
      </c>
      <c r="GH4" s="33" t="str">
        <f>IF(Activities!F4=GG4,"OK","Error")</f>
        <v>OK</v>
      </c>
      <c r="GI4" s="19">
        <f t="shared" si="5"/>
        <v>0</v>
      </c>
      <c r="GJ4" s="33" t="str">
        <f>IF(Activities!G4=GI4,"OK","Error")</f>
        <v>OK</v>
      </c>
      <c r="GK4" s="19">
        <f t="shared" si="6"/>
        <v>0</v>
      </c>
      <c r="GL4" s="33" t="str">
        <f>IF(Activities!H4=GK4,"OK","Error")</f>
        <v>OK</v>
      </c>
      <c r="GM4" s="19">
        <f t="shared" si="7"/>
        <v>0</v>
      </c>
      <c r="GN4" s="33" t="str">
        <f>IF(Activities!I4=GM4,"OK","Error")</f>
        <v>OK</v>
      </c>
      <c r="GO4" s="19">
        <f t="shared" si="8"/>
        <v>0</v>
      </c>
      <c r="GP4" s="33" t="str">
        <f>IF(Activities!J4=GO4,"OK","Error")</f>
        <v>OK</v>
      </c>
      <c r="GQ4" s="19">
        <f t="shared" si="9"/>
        <v>0</v>
      </c>
      <c r="GR4" s="33" t="str">
        <f>IF(Activities!K4=GQ4,"OK","Error")</f>
        <v>OK</v>
      </c>
      <c r="GS4" s="19">
        <f t="shared" si="10"/>
        <v>0</v>
      </c>
      <c r="GT4" s="33" t="str">
        <f>IF(Activities!L4=GS4,"OK","Error")</f>
        <v>OK</v>
      </c>
      <c r="GU4" s="19">
        <f t="shared" si="11"/>
        <v>0</v>
      </c>
      <c r="GV4" s="33" t="str">
        <f>IF(Activities!M4=GU4,"OK","Error")</f>
        <v>OK</v>
      </c>
      <c r="GW4" s="19">
        <f t="shared" si="12"/>
        <v>0</v>
      </c>
      <c r="GX4" s="33" t="str">
        <f>IF(Activities!N4=GW4,"OK","Error")</f>
        <v>OK</v>
      </c>
      <c r="GY4" s="19">
        <f t="shared" si="13"/>
        <v>0</v>
      </c>
      <c r="GZ4" s="33" t="str">
        <f>IF(Activities!O4=GY4,"OK","Error")</f>
        <v>OK</v>
      </c>
      <c r="HA4" s="19">
        <f t="shared" si="14"/>
        <v>0</v>
      </c>
      <c r="HB4" s="33" t="str">
        <f>IF(Activities!P4=HA4,"OK","Error")</f>
        <v>OK</v>
      </c>
      <c r="HC4" s="19">
        <f t="shared" si="15"/>
        <v>0</v>
      </c>
      <c r="HD4" s="33" t="str">
        <f>IF(Activities!Q4=HC4,"OK","Error")</f>
        <v>OK</v>
      </c>
      <c r="HE4" s="19">
        <f t="shared" si="16"/>
        <v>0</v>
      </c>
      <c r="HF4" s="33" t="str">
        <f>IF(Activities!R4=HE4,"OK","Error")</f>
        <v>OK</v>
      </c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</row>
    <row r="5" spans="1:239" s="74" customFormat="1" ht="22.05" hidden="1" customHeight="1" x14ac:dyDescent="0.35">
      <c r="A5" s="34">
        <v>3</v>
      </c>
      <c r="B5" s="133" t="str">
        <f>IF(Top_3="","",Top_3)</f>
        <v/>
      </c>
      <c r="C5" s="17" t="str">
        <f>IF(TopV_3="","",TopV_3)</f>
        <v/>
      </c>
      <c r="D5" s="34">
        <f>Topics!F5</f>
        <v>0</v>
      </c>
      <c r="E5" s="36"/>
      <c r="F5" s="36"/>
      <c r="G5" s="36"/>
      <c r="H5" s="36"/>
      <c r="I5" s="36"/>
      <c r="J5" s="36"/>
      <c r="K5" s="36"/>
      <c r="L5" s="36"/>
      <c r="M5" s="36"/>
      <c r="N5" s="36"/>
      <c r="O5" s="34">
        <f>Topics!G5</f>
        <v>0</v>
      </c>
      <c r="P5" s="36"/>
      <c r="Q5" s="36"/>
      <c r="R5" s="36"/>
      <c r="S5" s="36"/>
      <c r="T5" s="36"/>
      <c r="U5" s="36"/>
      <c r="V5" s="36"/>
      <c r="W5" s="36"/>
      <c r="X5" s="36"/>
      <c r="Y5" s="36"/>
      <c r="Z5" s="34">
        <f>Topics!H5</f>
        <v>0</v>
      </c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4">
        <f>Topics!I5</f>
        <v>0</v>
      </c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4">
        <f>Topics!J5</f>
        <v>0</v>
      </c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4">
        <f>Topics!K5</f>
        <v>0</v>
      </c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4">
        <f>Topics!L5</f>
        <v>0</v>
      </c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4">
        <f>Topics!M5</f>
        <v>0</v>
      </c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4">
        <f>Topics!N5</f>
        <v>0</v>
      </c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4">
        <f>Topics!O5</f>
        <v>0</v>
      </c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4">
        <f>Topics!P5</f>
        <v>0</v>
      </c>
      <c r="EC5" s="36"/>
      <c r="ED5" s="36"/>
      <c r="EE5" s="36"/>
      <c r="EF5" s="36"/>
      <c r="EG5" s="36"/>
      <c r="EH5" s="36"/>
      <c r="EI5" s="36"/>
      <c r="EJ5" s="36"/>
      <c r="EK5" s="36"/>
      <c r="EL5" s="34">
        <f>Topics!Q5</f>
        <v>0</v>
      </c>
      <c r="EM5" s="36"/>
      <c r="EN5" s="36"/>
      <c r="EO5" s="36"/>
      <c r="EP5" s="36"/>
      <c r="EQ5" s="36"/>
      <c r="ER5" s="36"/>
      <c r="ES5" s="36"/>
      <c r="ET5" s="36"/>
      <c r="EU5" s="36"/>
      <c r="EV5" s="34">
        <f>Topics!R5</f>
        <v>0</v>
      </c>
      <c r="EW5" s="36"/>
      <c r="EX5" s="36"/>
      <c r="EY5" s="36"/>
      <c r="EZ5" s="36"/>
      <c r="FA5" s="36"/>
      <c r="FB5" s="36"/>
      <c r="FC5" s="36"/>
      <c r="FD5" s="36"/>
      <c r="FE5" s="36"/>
      <c r="FF5" s="34">
        <f>Topics!S5</f>
        <v>0</v>
      </c>
      <c r="FG5" s="36"/>
      <c r="FH5" s="36"/>
      <c r="FI5" s="36"/>
      <c r="FJ5" s="36"/>
      <c r="FK5" s="36"/>
      <c r="FL5" s="36"/>
      <c r="FM5" s="36"/>
      <c r="FN5" s="36"/>
      <c r="FO5" s="36"/>
      <c r="FP5" s="34">
        <f>Topics!T5</f>
        <v>0</v>
      </c>
      <c r="FQ5" s="36"/>
      <c r="FR5" s="36"/>
      <c r="FS5" s="36"/>
      <c r="FT5" s="36"/>
      <c r="FU5" s="36"/>
      <c r="FV5" s="36"/>
      <c r="FW5" s="36"/>
      <c r="FX5" s="36"/>
      <c r="FY5" s="36"/>
      <c r="FZ5" s="33" t="str">
        <f t="shared" si="0"/>
        <v>Error</v>
      </c>
      <c r="GA5" s="225"/>
      <c r="GB5" s="34">
        <f t="shared" si="1"/>
        <v>3</v>
      </c>
      <c r="GC5" s="19">
        <f t="shared" si="2"/>
        <v>0</v>
      </c>
      <c r="GD5" s="33" t="str">
        <f>IF(Activities!D5=GC5,"OK","Error")</f>
        <v>OK</v>
      </c>
      <c r="GE5" s="19">
        <f t="shared" si="3"/>
        <v>0</v>
      </c>
      <c r="GF5" s="33" t="str">
        <f>IF(Activities!E5=GE5,"OK","Error")</f>
        <v>OK</v>
      </c>
      <c r="GG5" s="19">
        <f t="shared" si="4"/>
        <v>0</v>
      </c>
      <c r="GH5" s="33" t="str">
        <f>IF(Activities!F5=GG5,"OK","Error")</f>
        <v>OK</v>
      </c>
      <c r="GI5" s="19">
        <f t="shared" si="5"/>
        <v>0</v>
      </c>
      <c r="GJ5" s="33" t="str">
        <f>IF(Activities!G5=GI5,"OK","Error")</f>
        <v>OK</v>
      </c>
      <c r="GK5" s="19">
        <f t="shared" si="6"/>
        <v>0</v>
      </c>
      <c r="GL5" s="33" t="str">
        <f>IF(Activities!H5=GK5,"OK","Error")</f>
        <v>OK</v>
      </c>
      <c r="GM5" s="19">
        <f t="shared" si="7"/>
        <v>0</v>
      </c>
      <c r="GN5" s="33" t="str">
        <f>IF(Activities!I5=GM5,"OK","Error")</f>
        <v>OK</v>
      </c>
      <c r="GO5" s="19">
        <f t="shared" si="8"/>
        <v>0</v>
      </c>
      <c r="GP5" s="33" t="str">
        <f>IF(Activities!J5=GO5,"OK","Error")</f>
        <v>OK</v>
      </c>
      <c r="GQ5" s="19">
        <f t="shared" si="9"/>
        <v>0</v>
      </c>
      <c r="GR5" s="33" t="str">
        <f>IF(Activities!K5=GQ5,"OK","Error")</f>
        <v>OK</v>
      </c>
      <c r="GS5" s="19">
        <f t="shared" si="10"/>
        <v>0</v>
      </c>
      <c r="GT5" s="33" t="str">
        <f>IF(Activities!L5=GS5,"OK","Error")</f>
        <v>OK</v>
      </c>
      <c r="GU5" s="19">
        <f t="shared" si="11"/>
        <v>0</v>
      </c>
      <c r="GV5" s="33" t="str">
        <f>IF(Activities!M5=GU5,"OK","Error")</f>
        <v>OK</v>
      </c>
      <c r="GW5" s="19">
        <f t="shared" si="12"/>
        <v>0</v>
      </c>
      <c r="GX5" s="33" t="str">
        <f>IF(Activities!N5=GW5,"OK","Error")</f>
        <v>OK</v>
      </c>
      <c r="GY5" s="19">
        <f t="shared" si="13"/>
        <v>0</v>
      </c>
      <c r="GZ5" s="33" t="str">
        <f>IF(Activities!O5=GY5,"OK","Error")</f>
        <v>OK</v>
      </c>
      <c r="HA5" s="19">
        <f t="shared" si="14"/>
        <v>0</v>
      </c>
      <c r="HB5" s="33" t="str">
        <f>IF(Activities!P5=HA5,"OK","Error")</f>
        <v>OK</v>
      </c>
      <c r="HC5" s="19">
        <f t="shared" si="15"/>
        <v>0</v>
      </c>
      <c r="HD5" s="33" t="str">
        <f>IF(Activities!Q5=HC5,"OK","Error")</f>
        <v>OK</v>
      </c>
      <c r="HE5" s="19">
        <f t="shared" si="16"/>
        <v>0</v>
      </c>
      <c r="HF5" s="33" t="str">
        <f>IF(Activities!R5=HE5,"OK","Error")</f>
        <v>OK</v>
      </c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</row>
    <row r="6" spans="1:239" s="74" customFormat="1" ht="22.05" hidden="1" customHeight="1" x14ac:dyDescent="0.35">
      <c r="A6" s="34">
        <v>4</v>
      </c>
      <c r="B6" s="134" t="str">
        <f>IF(Top_4="","",Top_4)</f>
        <v/>
      </c>
      <c r="C6" s="20" t="str">
        <f>IF(TopV_4="","",TopV_4)</f>
        <v/>
      </c>
      <c r="D6" s="75">
        <f>Topics!F6</f>
        <v>0</v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75">
        <f>Topics!G6</f>
        <v>0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75">
        <f>Topics!H6</f>
        <v>0</v>
      </c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4">
        <f>Topics!I6</f>
        <v>0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4">
        <f>Topics!J6</f>
        <v>0</v>
      </c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4">
        <f>Topics!K6</f>
        <v>0</v>
      </c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4">
        <f>Topics!L6</f>
        <v>0</v>
      </c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4">
        <f>Topics!M6</f>
        <v>0</v>
      </c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4">
        <f>Topics!N6</f>
        <v>0</v>
      </c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4">
        <f>Topics!O6</f>
        <v>0</v>
      </c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4">
        <f>Topics!P6</f>
        <v>0</v>
      </c>
      <c r="EC6" s="37"/>
      <c r="ED6" s="37"/>
      <c r="EE6" s="37"/>
      <c r="EF6" s="37"/>
      <c r="EG6" s="37"/>
      <c r="EH6" s="37"/>
      <c r="EI6" s="37"/>
      <c r="EJ6" s="37"/>
      <c r="EK6" s="37"/>
      <c r="EL6" s="34">
        <f>Topics!Q6</f>
        <v>0</v>
      </c>
      <c r="EM6" s="37"/>
      <c r="EN6" s="37"/>
      <c r="EO6" s="37"/>
      <c r="EP6" s="37"/>
      <c r="EQ6" s="37"/>
      <c r="ER6" s="37"/>
      <c r="ES6" s="37"/>
      <c r="ET6" s="37"/>
      <c r="EU6" s="37"/>
      <c r="EV6" s="34">
        <f>Topics!R6</f>
        <v>0</v>
      </c>
      <c r="EW6" s="37"/>
      <c r="EX6" s="37"/>
      <c r="EY6" s="37"/>
      <c r="EZ6" s="37"/>
      <c r="FA6" s="37"/>
      <c r="FB6" s="37"/>
      <c r="FC6" s="37"/>
      <c r="FD6" s="37"/>
      <c r="FE6" s="37"/>
      <c r="FF6" s="34">
        <f>Topics!S6</f>
        <v>0</v>
      </c>
      <c r="FG6" s="37"/>
      <c r="FH6" s="37"/>
      <c r="FI6" s="37"/>
      <c r="FJ6" s="37"/>
      <c r="FK6" s="37"/>
      <c r="FL6" s="37"/>
      <c r="FM6" s="37"/>
      <c r="FN6" s="37"/>
      <c r="FO6" s="37"/>
      <c r="FP6" s="34">
        <f>Topics!T6</f>
        <v>0</v>
      </c>
      <c r="FQ6" s="37"/>
      <c r="FR6" s="37"/>
      <c r="FS6" s="37"/>
      <c r="FT6" s="37"/>
      <c r="FU6" s="37"/>
      <c r="FV6" s="37"/>
      <c r="FW6" s="37"/>
      <c r="FX6" s="37"/>
      <c r="FY6" s="37"/>
      <c r="FZ6" s="33" t="str">
        <f t="shared" si="0"/>
        <v>Error</v>
      </c>
      <c r="GA6" s="225"/>
      <c r="GB6" s="34">
        <f t="shared" si="1"/>
        <v>4</v>
      </c>
      <c r="GC6" s="19">
        <f t="shared" si="2"/>
        <v>0</v>
      </c>
      <c r="GD6" s="33" t="str">
        <f>IF(Activities!D6=GC6,"OK","Error")</f>
        <v>OK</v>
      </c>
      <c r="GE6" s="19">
        <f t="shared" si="3"/>
        <v>0</v>
      </c>
      <c r="GF6" s="33" t="str">
        <f>IF(Activities!E6=GE6,"OK","Error")</f>
        <v>OK</v>
      </c>
      <c r="GG6" s="19">
        <f t="shared" si="4"/>
        <v>0</v>
      </c>
      <c r="GH6" s="33" t="str">
        <f>IF(Activities!F6=GG6,"OK","Error")</f>
        <v>OK</v>
      </c>
      <c r="GI6" s="19">
        <f t="shared" si="5"/>
        <v>0</v>
      </c>
      <c r="GJ6" s="33" t="str">
        <f>IF(Activities!G6=GI6,"OK","Error")</f>
        <v>OK</v>
      </c>
      <c r="GK6" s="19">
        <f t="shared" si="6"/>
        <v>0</v>
      </c>
      <c r="GL6" s="33" t="str">
        <f>IF(Activities!H6=GK6,"OK","Error")</f>
        <v>OK</v>
      </c>
      <c r="GM6" s="19">
        <f t="shared" si="7"/>
        <v>0</v>
      </c>
      <c r="GN6" s="33" t="str">
        <f>IF(Activities!I6=GM6,"OK","Error")</f>
        <v>OK</v>
      </c>
      <c r="GO6" s="19">
        <f t="shared" si="8"/>
        <v>0</v>
      </c>
      <c r="GP6" s="33" t="str">
        <f>IF(Activities!J6=GO6,"OK","Error")</f>
        <v>OK</v>
      </c>
      <c r="GQ6" s="19">
        <f t="shared" si="9"/>
        <v>0</v>
      </c>
      <c r="GR6" s="33" t="str">
        <f>IF(Activities!K6=GQ6,"OK","Error")</f>
        <v>OK</v>
      </c>
      <c r="GS6" s="19">
        <f t="shared" si="10"/>
        <v>0</v>
      </c>
      <c r="GT6" s="33" t="str">
        <f>IF(Activities!L6=GS6,"OK","Error")</f>
        <v>OK</v>
      </c>
      <c r="GU6" s="19">
        <f t="shared" si="11"/>
        <v>0</v>
      </c>
      <c r="GV6" s="33" t="str">
        <f>IF(Activities!M6=GU6,"OK","Error")</f>
        <v>OK</v>
      </c>
      <c r="GW6" s="19">
        <f t="shared" si="12"/>
        <v>0</v>
      </c>
      <c r="GX6" s="33" t="str">
        <f>IF(Activities!N6=GW6,"OK","Error")</f>
        <v>OK</v>
      </c>
      <c r="GY6" s="19">
        <f t="shared" si="13"/>
        <v>0</v>
      </c>
      <c r="GZ6" s="33" t="str">
        <f>IF(Activities!O6=GY6,"OK","Error")</f>
        <v>OK</v>
      </c>
      <c r="HA6" s="19">
        <f t="shared" si="14"/>
        <v>0</v>
      </c>
      <c r="HB6" s="33" t="str">
        <f>IF(Activities!P6=HA6,"OK","Error")</f>
        <v>OK</v>
      </c>
      <c r="HC6" s="19">
        <f t="shared" si="15"/>
        <v>0</v>
      </c>
      <c r="HD6" s="33" t="str">
        <f>IF(Activities!Q6=HC6,"OK","Error")</f>
        <v>OK</v>
      </c>
      <c r="HE6" s="19">
        <f t="shared" si="16"/>
        <v>0</v>
      </c>
      <c r="HF6" s="33" t="str">
        <f>IF(Activities!R6=HE6,"OK","Error")</f>
        <v>OK</v>
      </c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</row>
    <row r="7" spans="1:239" s="74" customFormat="1" ht="22.05" hidden="1" customHeight="1" x14ac:dyDescent="0.35">
      <c r="A7" s="34">
        <v>5</v>
      </c>
      <c r="B7" s="133" t="str">
        <f>IF(Top_5="","",Top_5)</f>
        <v/>
      </c>
      <c r="C7" s="17" t="str">
        <f>IF(TopV_5="","",TopV_5)</f>
        <v/>
      </c>
      <c r="D7" s="34">
        <f>Topics!F7</f>
        <v>0</v>
      </c>
      <c r="E7" s="36"/>
      <c r="F7" s="36"/>
      <c r="G7" s="36"/>
      <c r="H7" s="36"/>
      <c r="I7" s="36"/>
      <c r="J7" s="36"/>
      <c r="K7" s="36"/>
      <c r="L7" s="36"/>
      <c r="M7" s="36"/>
      <c r="N7" s="36"/>
      <c r="O7" s="34">
        <f>Topics!G7</f>
        <v>0</v>
      </c>
      <c r="P7" s="36"/>
      <c r="Q7" s="36"/>
      <c r="R7" s="36"/>
      <c r="S7" s="36"/>
      <c r="T7" s="36"/>
      <c r="U7" s="36"/>
      <c r="V7" s="36"/>
      <c r="W7" s="36"/>
      <c r="X7" s="36"/>
      <c r="Y7" s="36"/>
      <c r="Z7" s="34">
        <f>Topics!H7</f>
        <v>0</v>
      </c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4">
        <f>Topics!I7</f>
        <v>0</v>
      </c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4">
        <f>Topics!J7</f>
        <v>0</v>
      </c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4">
        <f>Topics!K7</f>
        <v>0</v>
      </c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4">
        <f>Topics!L7</f>
        <v>0</v>
      </c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4">
        <f>Topics!M7</f>
        <v>0</v>
      </c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4">
        <f>Topics!N7</f>
        <v>0</v>
      </c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4">
        <f>Topics!O7</f>
        <v>0</v>
      </c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4">
        <f>Topics!P7</f>
        <v>0</v>
      </c>
      <c r="EC7" s="36"/>
      <c r="ED7" s="36"/>
      <c r="EE7" s="36"/>
      <c r="EF7" s="36"/>
      <c r="EG7" s="36"/>
      <c r="EH7" s="36"/>
      <c r="EI7" s="36"/>
      <c r="EJ7" s="36"/>
      <c r="EK7" s="36"/>
      <c r="EL7" s="34">
        <f>Topics!Q7</f>
        <v>0</v>
      </c>
      <c r="EM7" s="36"/>
      <c r="EN7" s="36"/>
      <c r="EO7" s="36"/>
      <c r="EP7" s="36"/>
      <c r="EQ7" s="36"/>
      <c r="ER7" s="36"/>
      <c r="ES7" s="36"/>
      <c r="ET7" s="36"/>
      <c r="EU7" s="36"/>
      <c r="EV7" s="34">
        <f>Topics!R7</f>
        <v>0</v>
      </c>
      <c r="EW7" s="36"/>
      <c r="EX7" s="36"/>
      <c r="EY7" s="36"/>
      <c r="EZ7" s="36"/>
      <c r="FA7" s="36"/>
      <c r="FB7" s="36"/>
      <c r="FC7" s="36"/>
      <c r="FD7" s="36"/>
      <c r="FE7" s="36"/>
      <c r="FF7" s="34">
        <f>Topics!S7</f>
        <v>0</v>
      </c>
      <c r="FG7" s="36"/>
      <c r="FH7" s="36"/>
      <c r="FI7" s="36"/>
      <c r="FJ7" s="36"/>
      <c r="FK7" s="36"/>
      <c r="FL7" s="36"/>
      <c r="FM7" s="36"/>
      <c r="FN7" s="36"/>
      <c r="FO7" s="36"/>
      <c r="FP7" s="34">
        <f>Topics!T7</f>
        <v>0</v>
      </c>
      <c r="FQ7" s="36"/>
      <c r="FR7" s="36"/>
      <c r="FS7" s="36"/>
      <c r="FT7" s="36"/>
      <c r="FU7" s="36"/>
      <c r="FV7" s="36"/>
      <c r="FW7" s="36"/>
      <c r="FX7" s="36"/>
      <c r="FY7" s="36"/>
      <c r="FZ7" s="33" t="str">
        <f t="shared" si="0"/>
        <v>Error</v>
      </c>
      <c r="GA7" s="225"/>
      <c r="GB7" s="34">
        <f t="shared" si="1"/>
        <v>5</v>
      </c>
      <c r="GC7" s="19">
        <f t="shared" si="2"/>
        <v>0</v>
      </c>
      <c r="GD7" s="33" t="str">
        <f>IF(Activities!D7=GC7,"OK","Error")</f>
        <v>OK</v>
      </c>
      <c r="GE7" s="19">
        <f t="shared" si="3"/>
        <v>0</v>
      </c>
      <c r="GF7" s="33" t="str">
        <f>IF(Activities!E7=GE7,"OK","Error")</f>
        <v>OK</v>
      </c>
      <c r="GG7" s="19">
        <f t="shared" si="4"/>
        <v>0</v>
      </c>
      <c r="GH7" s="33" t="str">
        <f>IF(Activities!F7=GG7,"OK","Error")</f>
        <v>OK</v>
      </c>
      <c r="GI7" s="19">
        <f t="shared" si="5"/>
        <v>0</v>
      </c>
      <c r="GJ7" s="33" t="str">
        <f>IF(Activities!G7=GI7,"OK","Error")</f>
        <v>OK</v>
      </c>
      <c r="GK7" s="19">
        <f t="shared" si="6"/>
        <v>0</v>
      </c>
      <c r="GL7" s="33" t="str">
        <f>IF(Activities!H7=GK7,"OK","Error")</f>
        <v>OK</v>
      </c>
      <c r="GM7" s="19">
        <f t="shared" si="7"/>
        <v>0</v>
      </c>
      <c r="GN7" s="33" t="str">
        <f>IF(Activities!I7=GM7,"OK","Error")</f>
        <v>OK</v>
      </c>
      <c r="GO7" s="19">
        <f t="shared" si="8"/>
        <v>0</v>
      </c>
      <c r="GP7" s="33" t="str">
        <f>IF(Activities!J7=GO7,"OK","Error")</f>
        <v>OK</v>
      </c>
      <c r="GQ7" s="19">
        <f t="shared" si="9"/>
        <v>0</v>
      </c>
      <c r="GR7" s="33" t="str">
        <f>IF(Activities!K7=GQ7,"OK","Error")</f>
        <v>OK</v>
      </c>
      <c r="GS7" s="19">
        <f t="shared" si="10"/>
        <v>0</v>
      </c>
      <c r="GT7" s="33" t="str">
        <f>IF(Activities!L7=GS7,"OK","Error")</f>
        <v>OK</v>
      </c>
      <c r="GU7" s="19">
        <f t="shared" si="11"/>
        <v>0</v>
      </c>
      <c r="GV7" s="33" t="str">
        <f>IF(Activities!M7=GU7,"OK","Error")</f>
        <v>OK</v>
      </c>
      <c r="GW7" s="19">
        <f t="shared" si="12"/>
        <v>0</v>
      </c>
      <c r="GX7" s="33" t="str">
        <f>IF(Activities!N7=GW7,"OK","Error")</f>
        <v>OK</v>
      </c>
      <c r="GY7" s="19">
        <f t="shared" si="13"/>
        <v>0</v>
      </c>
      <c r="GZ7" s="33" t="str">
        <f>IF(Activities!O7=GY7,"OK","Error")</f>
        <v>OK</v>
      </c>
      <c r="HA7" s="19">
        <f t="shared" si="14"/>
        <v>0</v>
      </c>
      <c r="HB7" s="33" t="str">
        <f>IF(Activities!P7=HA7,"OK","Error")</f>
        <v>OK</v>
      </c>
      <c r="HC7" s="19">
        <f t="shared" si="15"/>
        <v>0</v>
      </c>
      <c r="HD7" s="33" t="str">
        <f>IF(Activities!Q7=HC7,"OK","Error")</f>
        <v>OK</v>
      </c>
      <c r="HE7" s="19">
        <f t="shared" si="16"/>
        <v>0</v>
      </c>
      <c r="HF7" s="33" t="str">
        <f>IF(Activities!R7=HE7,"OK","Error")</f>
        <v>OK</v>
      </c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</row>
    <row r="8" spans="1:239" s="74" customFormat="1" ht="22.05" hidden="1" customHeight="1" x14ac:dyDescent="0.35">
      <c r="A8" s="34">
        <v>6</v>
      </c>
      <c r="B8" s="134" t="str">
        <f>IF(Top_6="","",Top_6)</f>
        <v/>
      </c>
      <c r="C8" s="20" t="str">
        <f>IF(TopV_6="","",TopV_6)</f>
        <v/>
      </c>
      <c r="D8" s="34">
        <f>Topics!F8</f>
        <v>0</v>
      </c>
      <c r="E8" s="37"/>
      <c r="F8" s="37"/>
      <c r="G8" s="37"/>
      <c r="H8" s="37"/>
      <c r="I8" s="37"/>
      <c r="J8" s="37"/>
      <c r="K8" s="37"/>
      <c r="L8" s="37"/>
      <c r="M8" s="37"/>
      <c r="N8" s="37"/>
      <c r="O8" s="34">
        <f>Topics!G8</f>
        <v>0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4">
        <f>Topics!H8</f>
        <v>0</v>
      </c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4">
        <f>Topics!I8</f>
        <v>0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4">
        <f>Topics!J8</f>
        <v>0</v>
      </c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4">
        <f>Topics!K8</f>
        <v>0</v>
      </c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4">
        <f>Topics!L8</f>
        <v>0</v>
      </c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4">
        <f>Topics!M8</f>
        <v>0</v>
      </c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4">
        <f>Topics!N8</f>
        <v>0</v>
      </c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4">
        <f>Topics!O8</f>
        <v>0</v>
      </c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4">
        <f>Topics!P8</f>
        <v>0</v>
      </c>
      <c r="EC8" s="37"/>
      <c r="ED8" s="37"/>
      <c r="EE8" s="37"/>
      <c r="EF8" s="37"/>
      <c r="EG8" s="37"/>
      <c r="EH8" s="37"/>
      <c r="EI8" s="37"/>
      <c r="EJ8" s="37"/>
      <c r="EK8" s="37"/>
      <c r="EL8" s="34">
        <f>Topics!Q8</f>
        <v>0</v>
      </c>
      <c r="EM8" s="37"/>
      <c r="EN8" s="37"/>
      <c r="EO8" s="37"/>
      <c r="EP8" s="37"/>
      <c r="EQ8" s="37"/>
      <c r="ER8" s="37"/>
      <c r="ES8" s="37"/>
      <c r="ET8" s="37"/>
      <c r="EU8" s="37"/>
      <c r="EV8" s="34">
        <f>Topics!R8</f>
        <v>0</v>
      </c>
      <c r="EW8" s="37"/>
      <c r="EX8" s="37"/>
      <c r="EY8" s="37"/>
      <c r="EZ8" s="37"/>
      <c r="FA8" s="37"/>
      <c r="FB8" s="37"/>
      <c r="FC8" s="37"/>
      <c r="FD8" s="37"/>
      <c r="FE8" s="37"/>
      <c r="FF8" s="34">
        <f>Topics!S8</f>
        <v>0</v>
      </c>
      <c r="FG8" s="37"/>
      <c r="FH8" s="37"/>
      <c r="FI8" s="37"/>
      <c r="FJ8" s="37"/>
      <c r="FK8" s="37"/>
      <c r="FL8" s="37"/>
      <c r="FM8" s="37"/>
      <c r="FN8" s="37"/>
      <c r="FO8" s="37"/>
      <c r="FP8" s="34">
        <f>Topics!T8</f>
        <v>0</v>
      </c>
      <c r="FQ8" s="37"/>
      <c r="FR8" s="37"/>
      <c r="FS8" s="37"/>
      <c r="FT8" s="37"/>
      <c r="FU8" s="37"/>
      <c r="FV8" s="37"/>
      <c r="FW8" s="37"/>
      <c r="FX8" s="37"/>
      <c r="FY8" s="37"/>
      <c r="FZ8" s="33" t="str">
        <f t="shared" si="0"/>
        <v>Error</v>
      </c>
      <c r="GA8" s="225"/>
      <c r="GB8" s="34">
        <f t="shared" si="1"/>
        <v>6</v>
      </c>
      <c r="GC8" s="19">
        <f t="shared" si="2"/>
        <v>0</v>
      </c>
      <c r="GD8" s="33" t="str">
        <f>IF(Activities!D8=GC8,"OK","Error")</f>
        <v>OK</v>
      </c>
      <c r="GE8" s="19">
        <f t="shared" si="3"/>
        <v>0</v>
      </c>
      <c r="GF8" s="33" t="str">
        <f>IF(Activities!E8=GE8,"OK","Error")</f>
        <v>OK</v>
      </c>
      <c r="GG8" s="19">
        <f t="shared" si="4"/>
        <v>0</v>
      </c>
      <c r="GH8" s="33" t="str">
        <f>IF(Activities!F8=GG8,"OK","Error")</f>
        <v>OK</v>
      </c>
      <c r="GI8" s="19">
        <f t="shared" si="5"/>
        <v>0</v>
      </c>
      <c r="GJ8" s="33" t="str">
        <f>IF(Activities!G8=GI8,"OK","Error")</f>
        <v>OK</v>
      </c>
      <c r="GK8" s="19">
        <f t="shared" si="6"/>
        <v>0</v>
      </c>
      <c r="GL8" s="33" t="str">
        <f>IF(Activities!H8=GK8,"OK","Error")</f>
        <v>OK</v>
      </c>
      <c r="GM8" s="19">
        <f t="shared" si="7"/>
        <v>0</v>
      </c>
      <c r="GN8" s="33" t="str">
        <f>IF(Activities!I8=GM8,"OK","Error")</f>
        <v>OK</v>
      </c>
      <c r="GO8" s="19">
        <f t="shared" si="8"/>
        <v>0</v>
      </c>
      <c r="GP8" s="33" t="str">
        <f>IF(Activities!J8=GO8,"OK","Error")</f>
        <v>OK</v>
      </c>
      <c r="GQ8" s="19">
        <f t="shared" si="9"/>
        <v>0</v>
      </c>
      <c r="GR8" s="33" t="str">
        <f>IF(Activities!K8=GQ8,"OK","Error")</f>
        <v>OK</v>
      </c>
      <c r="GS8" s="19">
        <f t="shared" si="10"/>
        <v>0</v>
      </c>
      <c r="GT8" s="33" t="str">
        <f>IF(Activities!L8=GS8,"OK","Error")</f>
        <v>OK</v>
      </c>
      <c r="GU8" s="19">
        <f t="shared" si="11"/>
        <v>0</v>
      </c>
      <c r="GV8" s="33" t="str">
        <f>IF(Activities!M8=GU8,"OK","Error")</f>
        <v>OK</v>
      </c>
      <c r="GW8" s="19">
        <f t="shared" si="12"/>
        <v>0</v>
      </c>
      <c r="GX8" s="33" t="str">
        <f>IF(Activities!N8=GW8,"OK","Error")</f>
        <v>OK</v>
      </c>
      <c r="GY8" s="19">
        <f t="shared" si="13"/>
        <v>0</v>
      </c>
      <c r="GZ8" s="33" t="str">
        <f>IF(Activities!O8=GY8,"OK","Error")</f>
        <v>OK</v>
      </c>
      <c r="HA8" s="19">
        <f t="shared" si="14"/>
        <v>0</v>
      </c>
      <c r="HB8" s="33" t="str">
        <f>IF(Activities!P8=HA8,"OK","Error")</f>
        <v>OK</v>
      </c>
      <c r="HC8" s="19">
        <f t="shared" si="15"/>
        <v>0</v>
      </c>
      <c r="HD8" s="33" t="str">
        <f>IF(Activities!Q8=HC8,"OK","Error")</f>
        <v>OK</v>
      </c>
      <c r="HE8" s="19">
        <f t="shared" si="16"/>
        <v>0</v>
      </c>
      <c r="HF8" s="33" t="str">
        <f>IF(Activities!R8=HE8,"OK","Error")</f>
        <v>OK</v>
      </c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</row>
    <row r="9" spans="1:239" s="74" customFormat="1" ht="22.05" hidden="1" customHeight="1" x14ac:dyDescent="0.35">
      <c r="A9" s="34">
        <v>7</v>
      </c>
      <c r="B9" s="133" t="str">
        <f>IF(Top_7="","",Top_7)</f>
        <v/>
      </c>
      <c r="C9" s="17" t="str">
        <f>IF(TopV_7="","",TopV_7)</f>
        <v/>
      </c>
      <c r="D9" s="34">
        <f>Topics!F9</f>
        <v>0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4">
        <f>Topics!G9</f>
        <v>0</v>
      </c>
      <c r="P9" s="36"/>
      <c r="Q9" s="36"/>
      <c r="R9" s="36"/>
      <c r="S9" s="36"/>
      <c r="T9" s="36"/>
      <c r="U9" s="36"/>
      <c r="V9" s="36"/>
      <c r="W9" s="36"/>
      <c r="X9" s="36"/>
      <c r="Y9" s="36"/>
      <c r="Z9" s="34">
        <f>Topics!H9</f>
        <v>0</v>
      </c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4">
        <f>Topics!I9</f>
        <v>0</v>
      </c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4">
        <f>Topics!J9</f>
        <v>0</v>
      </c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4">
        <f>Topics!K9</f>
        <v>0</v>
      </c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4">
        <f>Topics!L9</f>
        <v>0</v>
      </c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4">
        <f>Topics!M9</f>
        <v>0</v>
      </c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4">
        <f>Topics!N9</f>
        <v>0</v>
      </c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4">
        <f>Topics!O9</f>
        <v>0</v>
      </c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4">
        <f>Topics!P9</f>
        <v>0</v>
      </c>
      <c r="EC9" s="36"/>
      <c r="ED9" s="36"/>
      <c r="EE9" s="36"/>
      <c r="EF9" s="36"/>
      <c r="EG9" s="36"/>
      <c r="EH9" s="36"/>
      <c r="EI9" s="36"/>
      <c r="EJ9" s="36"/>
      <c r="EK9" s="36"/>
      <c r="EL9" s="34">
        <f>Topics!Q9</f>
        <v>0</v>
      </c>
      <c r="EM9" s="36"/>
      <c r="EN9" s="36"/>
      <c r="EO9" s="36"/>
      <c r="EP9" s="36"/>
      <c r="EQ9" s="36"/>
      <c r="ER9" s="36"/>
      <c r="ES9" s="36"/>
      <c r="ET9" s="36"/>
      <c r="EU9" s="36"/>
      <c r="EV9" s="34">
        <f>Topics!R9</f>
        <v>0</v>
      </c>
      <c r="EW9" s="36"/>
      <c r="EX9" s="36"/>
      <c r="EY9" s="36"/>
      <c r="EZ9" s="36"/>
      <c r="FA9" s="36"/>
      <c r="FB9" s="36"/>
      <c r="FC9" s="36"/>
      <c r="FD9" s="36"/>
      <c r="FE9" s="36"/>
      <c r="FF9" s="34">
        <f>Topics!S9</f>
        <v>0</v>
      </c>
      <c r="FG9" s="36"/>
      <c r="FH9" s="36"/>
      <c r="FI9" s="36"/>
      <c r="FJ9" s="36"/>
      <c r="FK9" s="36"/>
      <c r="FL9" s="36"/>
      <c r="FM9" s="36"/>
      <c r="FN9" s="36"/>
      <c r="FO9" s="36"/>
      <c r="FP9" s="34">
        <f>Topics!T9</f>
        <v>0</v>
      </c>
      <c r="FQ9" s="36"/>
      <c r="FR9" s="36"/>
      <c r="FS9" s="36"/>
      <c r="FT9" s="36"/>
      <c r="FU9" s="36"/>
      <c r="FV9" s="36"/>
      <c r="FW9" s="36"/>
      <c r="FX9" s="36"/>
      <c r="FY9" s="36"/>
      <c r="FZ9" s="33" t="str">
        <f t="shared" si="0"/>
        <v>Error</v>
      </c>
      <c r="GA9" s="225"/>
      <c r="GB9" s="34">
        <f t="shared" si="1"/>
        <v>7</v>
      </c>
      <c r="GC9" s="19">
        <f t="shared" si="2"/>
        <v>0</v>
      </c>
      <c r="GD9" s="33" t="str">
        <f>IF(Activities!D9=GC9,"OK","Error")</f>
        <v>OK</v>
      </c>
      <c r="GE9" s="19">
        <f t="shared" si="3"/>
        <v>0</v>
      </c>
      <c r="GF9" s="33" t="str">
        <f>IF(Activities!E9=GE9,"OK","Error")</f>
        <v>OK</v>
      </c>
      <c r="GG9" s="19">
        <f t="shared" si="4"/>
        <v>0</v>
      </c>
      <c r="GH9" s="33" t="str">
        <f>IF(Activities!F9=GG9,"OK","Error")</f>
        <v>OK</v>
      </c>
      <c r="GI9" s="19">
        <f t="shared" si="5"/>
        <v>0</v>
      </c>
      <c r="GJ9" s="33" t="str">
        <f>IF(Activities!G9=GI9,"OK","Error")</f>
        <v>OK</v>
      </c>
      <c r="GK9" s="19">
        <f t="shared" si="6"/>
        <v>0</v>
      </c>
      <c r="GL9" s="33" t="str">
        <f>IF(Activities!H9=GK9,"OK","Error")</f>
        <v>OK</v>
      </c>
      <c r="GM9" s="19">
        <f t="shared" si="7"/>
        <v>0</v>
      </c>
      <c r="GN9" s="33" t="str">
        <f>IF(Activities!I9=GM9,"OK","Error")</f>
        <v>OK</v>
      </c>
      <c r="GO9" s="19">
        <f t="shared" si="8"/>
        <v>0</v>
      </c>
      <c r="GP9" s="33" t="str">
        <f>IF(Activities!J9=GO9,"OK","Error")</f>
        <v>OK</v>
      </c>
      <c r="GQ9" s="19">
        <f t="shared" si="9"/>
        <v>0</v>
      </c>
      <c r="GR9" s="33" t="str">
        <f>IF(Activities!K9=GQ9,"OK","Error")</f>
        <v>OK</v>
      </c>
      <c r="GS9" s="19">
        <f t="shared" si="10"/>
        <v>0</v>
      </c>
      <c r="GT9" s="33" t="str">
        <f>IF(Activities!L9=GS9,"OK","Error")</f>
        <v>OK</v>
      </c>
      <c r="GU9" s="19">
        <f t="shared" si="11"/>
        <v>0</v>
      </c>
      <c r="GV9" s="33" t="str">
        <f>IF(Activities!M9=GU9,"OK","Error")</f>
        <v>OK</v>
      </c>
      <c r="GW9" s="19">
        <f t="shared" si="12"/>
        <v>0</v>
      </c>
      <c r="GX9" s="33" t="str">
        <f>IF(Activities!N9=GW9,"OK","Error")</f>
        <v>OK</v>
      </c>
      <c r="GY9" s="19">
        <f t="shared" si="13"/>
        <v>0</v>
      </c>
      <c r="GZ9" s="33" t="str">
        <f>IF(Activities!O9=GY9,"OK","Error")</f>
        <v>OK</v>
      </c>
      <c r="HA9" s="19">
        <f t="shared" si="14"/>
        <v>0</v>
      </c>
      <c r="HB9" s="33" t="str">
        <f>IF(Activities!P9=HA9,"OK","Error")</f>
        <v>OK</v>
      </c>
      <c r="HC9" s="19">
        <f t="shared" si="15"/>
        <v>0</v>
      </c>
      <c r="HD9" s="33" t="str">
        <f>IF(Activities!Q9=HC9,"OK","Error")</f>
        <v>OK</v>
      </c>
      <c r="HE9" s="19">
        <f t="shared" si="16"/>
        <v>0</v>
      </c>
      <c r="HF9" s="33" t="str">
        <f>IF(Activities!R9=HE9,"OK","Error")</f>
        <v>OK</v>
      </c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</row>
    <row r="10" spans="1:239" s="74" customFormat="1" ht="22.05" hidden="1" customHeight="1" x14ac:dyDescent="0.35">
      <c r="A10" s="34">
        <v>8</v>
      </c>
      <c r="B10" s="134" t="str">
        <f>IF(Top_8="","",Top_8)</f>
        <v/>
      </c>
      <c r="C10" s="20" t="str">
        <f>IF(TopV_8="","",TopV_8)</f>
        <v/>
      </c>
      <c r="D10" s="75">
        <f>Topics!F10</f>
        <v>0</v>
      </c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75">
        <f>Topics!G10</f>
        <v>0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75">
        <f>Topics!H10</f>
        <v>0</v>
      </c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4">
        <f>Topics!I10</f>
        <v>0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4">
        <f>Topics!J10</f>
        <v>0</v>
      </c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4">
        <f>Topics!K10</f>
        <v>0</v>
      </c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4">
        <f>Topics!L10</f>
        <v>0</v>
      </c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4">
        <f>Topics!M10</f>
        <v>0</v>
      </c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4">
        <f>Topics!N10</f>
        <v>0</v>
      </c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4">
        <f>Topics!O10</f>
        <v>0</v>
      </c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4">
        <f>Topics!P10</f>
        <v>0</v>
      </c>
      <c r="EC10" s="37"/>
      <c r="ED10" s="37"/>
      <c r="EE10" s="37"/>
      <c r="EF10" s="37"/>
      <c r="EG10" s="37"/>
      <c r="EH10" s="37"/>
      <c r="EI10" s="37"/>
      <c r="EJ10" s="37"/>
      <c r="EK10" s="37"/>
      <c r="EL10" s="34">
        <f>Topics!Q10</f>
        <v>0</v>
      </c>
      <c r="EM10" s="37"/>
      <c r="EN10" s="37"/>
      <c r="EO10" s="37"/>
      <c r="EP10" s="37"/>
      <c r="EQ10" s="37"/>
      <c r="ER10" s="37"/>
      <c r="ES10" s="37"/>
      <c r="ET10" s="37"/>
      <c r="EU10" s="37"/>
      <c r="EV10" s="34">
        <f>Topics!R10</f>
        <v>0</v>
      </c>
      <c r="EW10" s="37"/>
      <c r="EX10" s="37"/>
      <c r="EY10" s="37"/>
      <c r="EZ10" s="37"/>
      <c r="FA10" s="37"/>
      <c r="FB10" s="37"/>
      <c r="FC10" s="37"/>
      <c r="FD10" s="37"/>
      <c r="FE10" s="37"/>
      <c r="FF10" s="34">
        <f>Topics!S10</f>
        <v>0</v>
      </c>
      <c r="FG10" s="37"/>
      <c r="FH10" s="37"/>
      <c r="FI10" s="37"/>
      <c r="FJ10" s="37"/>
      <c r="FK10" s="37"/>
      <c r="FL10" s="37"/>
      <c r="FM10" s="37"/>
      <c r="FN10" s="37"/>
      <c r="FO10" s="37"/>
      <c r="FP10" s="34">
        <f>Topics!T10</f>
        <v>0</v>
      </c>
      <c r="FQ10" s="37"/>
      <c r="FR10" s="37"/>
      <c r="FS10" s="37"/>
      <c r="FT10" s="37"/>
      <c r="FU10" s="37"/>
      <c r="FV10" s="37"/>
      <c r="FW10" s="37"/>
      <c r="FX10" s="37"/>
      <c r="FY10" s="37"/>
      <c r="FZ10" s="33" t="str">
        <f t="shared" si="0"/>
        <v>Error</v>
      </c>
      <c r="GA10" s="225"/>
      <c r="GB10" s="34">
        <f t="shared" si="1"/>
        <v>8</v>
      </c>
      <c r="GC10" s="19">
        <f t="shared" si="2"/>
        <v>0</v>
      </c>
      <c r="GD10" s="33" t="str">
        <f>IF(Activities!D10=GC10,"OK","Error")</f>
        <v>OK</v>
      </c>
      <c r="GE10" s="19">
        <f t="shared" si="3"/>
        <v>0</v>
      </c>
      <c r="GF10" s="33" t="str">
        <f>IF(Activities!E10=GE10,"OK","Error")</f>
        <v>OK</v>
      </c>
      <c r="GG10" s="19">
        <f t="shared" si="4"/>
        <v>0</v>
      </c>
      <c r="GH10" s="33" t="str">
        <f>IF(Activities!F10=GG10,"OK","Error")</f>
        <v>OK</v>
      </c>
      <c r="GI10" s="19">
        <f t="shared" si="5"/>
        <v>0</v>
      </c>
      <c r="GJ10" s="33" t="str">
        <f>IF(Activities!G10=GI10,"OK","Error")</f>
        <v>OK</v>
      </c>
      <c r="GK10" s="19">
        <f t="shared" si="6"/>
        <v>0</v>
      </c>
      <c r="GL10" s="33" t="str">
        <f>IF(Activities!H10=GK10,"OK","Error")</f>
        <v>OK</v>
      </c>
      <c r="GM10" s="19">
        <f t="shared" si="7"/>
        <v>0</v>
      </c>
      <c r="GN10" s="33" t="str">
        <f>IF(Activities!I10=GM10,"OK","Error")</f>
        <v>OK</v>
      </c>
      <c r="GO10" s="19">
        <f t="shared" si="8"/>
        <v>0</v>
      </c>
      <c r="GP10" s="33" t="str">
        <f>IF(Activities!J10=GO10,"OK","Error")</f>
        <v>OK</v>
      </c>
      <c r="GQ10" s="19">
        <f t="shared" si="9"/>
        <v>0</v>
      </c>
      <c r="GR10" s="33" t="str">
        <f>IF(Activities!K10=GQ10,"OK","Error")</f>
        <v>OK</v>
      </c>
      <c r="GS10" s="19">
        <f t="shared" si="10"/>
        <v>0</v>
      </c>
      <c r="GT10" s="33" t="str">
        <f>IF(Activities!L10=GS10,"OK","Error")</f>
        <v>OK</v>
      </c>
      <c r="GU10" s="19">
        <f t="shared" si="11"/>
        <v>0</v>
      </c>
      <c r="GV10" s="33" t="str">
        <f>IF(Activities!M10=GU10,"OK","Error")</f>
        <v>OK</v>
      </c>
      <c r="GW10" s="19">
        <f t="shared" si="12"/>
        <v>0</v>
      </c>
      <c r="GX10" s="33" t="str">
        <f>IF(Activities!N10=GW10,"OK","Error")</f>
        <v>OK</v>
      </c>
      <c r="GY10" s="19">
        <f t="shared" si="13"/>
        <v>0</v>
      </c>
      <c r="GZ10" s="33" t="str">
        <f>IF(Activities!O10=GY10,"OK","Error")</f>
        <v>OK</v>
      </c>
      <c r="HA10" s="19">
        <f t="shared" si="14"/>
        <v>0</v>
      </c>
      <c r="HB10" s="33" t="str">
        <f>IF(Activities!P10=HA10,"OK","Error")</f>
        <v>OK</v>
      </c>
      <c r="HC10" s="19">
        <f t="shared" si="15"/>
        <v>0</v>
      </c>
      <c r="HD10" s="33" t="str">
        <f>IF(Activities!Q10=HC10,"OK","Error")</f>
        <v>OK</v>
      </c>
      <c r="HE10" s="19">
        <f t="shared" si="16"/>
        <v>0</v>
      </c>
      <c r="HF10" s="33" t="str">
        <f>IF(Activities!R10=HE10,"OK","Error")</f>
        <v>OK</v>
      </c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</row>
    <row r="11" spans="1:239" s="76" customFormat="1" ht="22.05" hidden="1" customHeight="1" x14ac:dyDescent="0.35">
      <c r="A11" s="34">
        <v>9</v>
      </c>
      <c r="B11" s="133" t="str">
        <f>IF(Top_9="","",Top_9)</f>
        <v/>
      </c>
      <c r="C11" s="17" t="str">
        <f>IF(TopV_9="","",TopV_9)</f>
        <v/>
      </c>
      <c r="D11" s="34">
        <f>Topics!F11</f>
        <v>0</v>
      </c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4">
        <f>Topics!G11</f>
        <v>0</v>
      </c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4">
        <f>Topics!H11</f>
        <v>0</v>
      </c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4">
        <f>Topics!I11</f>
        <v>0</v>
      </c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4">
        <f>Topics!J11</f>
        <v>0</v>
      </c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4">
        <f>Topics!K11</f>
        <v>0</v>
      </c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4">
        <f>Topics!L11</f>
        <v>0</v>
      </c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4">
        <f>Topics!M11</f>
        <v>0</v>
      </c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4">
        <f>Topics!N11</f>
        <v>0</v>
      </c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4">
        <f>Topics!O11</f>
        <v>0</v>
      </c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4">
        <f>Topics!P11</f>
        <v>0</v>
      </c>
      <c r="EC11" s="36"/>
      <c r="ED11" s="36"/>
      <c r="EE11" s="36"/>
      <c r="EF11" s="36"/>
      <c r="EG11" s="36"/>
      <c r="EH11" s="36"/>
      <c r="EI11" s="36"/>
      <c r="EJ11" s="36"/>
      <c r="EK11" s="36"/>
      <c r="EL11" s="34">
        <f>Topics!Q11</f>
        <v>0</v>
      </c>
      <c r="EM11" s="36"/>
      <c r="EN11" s="36"/>
      <c r="EO11" s="36"/>
      <c r="EP11" s="36"/>
      <c r="EQ11" s="36"/>
      <c r="ER11" s="36"/>
      <c r="ES11" s="36"/>
      <c r="ET11" s="36"/>
      <c r="EU11" s="36"/>
      <c r="EV11" s="34">
        <f>Topics!R11</f>
        <v>0</v>
      </c>
      <c r="EW11" s="36"/>
      <c r="EX11" s="36"/>
      <c r="EY11" s="36"/>
      <c r="EZ11" s="36"/>
      <c r="FA11" s="36"/>
      <c r="FB11" s="36"/>
      <c r="FC11" s="36"/>
      <c r="FD11" s="36"/>
      <c r="FE11" s="36"/>
      <c r="FF11" s="34">
        <f>Topics!S11</f>
        <v>0</v>
      </c>
      <c r="FG11" s="36"/>
      <c r="FH11" s="36"/>
      <c r="FI11" s="36"/>
      <c r="FJ11" s="36"/>
      <c r="FK11" s="36"/>
      <c r="FL11" s="36"/>
      <c r="FM11" s="36"/>
      <c r="FN11" s="36"/>
      <c r="FO11" s="36"/>
      <c r="FP11" s="34">
        <f>Topics!T11</f>
        <v>0</v>
      </c>
      <c r="FQ11" s="36"/>
      <c r="FR11" s="36"/>
      <c r="FS11" s="36"/>
      <c r="FT11" s="36"/>
      <c r="FU11" s="36"/>
      <c r="FV11" s="36"/>
      <c r="FW11" s="36"/>
      <c r="FX11" s="36"/>
      <c r="FY11" s="36"/>
      <c r="FZ11" s="33" t="str">
        <f t="shared" si="0"/>
        <v>Error</v>
      </c>
      <c r="GA11" s="225"/>
      <c r="GB11" s="34">
        <f t="shared" si="1"/>
        <v>9</v>
      </c>
      <c r="GC11" s="19">
        <f t="shared" si="2"/>
        <v>0</v>
      </c>
      <c r="GD11" s="33" t="str">
        <f>IF(Activities!D11=GC11,"OK","Error")</f>
        <v>OK</v>
      </c>
      <c r="GE11" s="19">
        <f t="shared" si="3"/>
        <v>0</v>
      </c>
      <c r="GF11" s="33" t="str">
        <f>IF(Activities!E11=GE11,"OK","Error")</f>
        <v>OK</v>
      </c>
      <c r="GG11" s="19">
        <f t="shared" si="4"/>
        <v>0</v>
      </c>
      <c r="GH11" s="33" t="str">
        <f>IF(Activities!F11=GG11,"OK","Error")</f>
        <v>OK</v>
      </c>
      <c r="GI11" s="19">
        <f t="shared" si="5"/>
        <v>0</v>
      </c>
      <c r="GJ11" s="33" t="str">
        <f>IF(Activities!G11=GI11,"OK","Error")</f>
        <v>OK</v>
      </c>
      <c r="GK11" s="19">
        <f t="shared" si="6"/>
        <v>0</v>
      </c>
      <c r="GL11" s="33" t="str">
        <f>IF(Activities!H11=GK11,"OK","Error")</f>
        <v>OK</v>
      </c>
      <c r="GM11" s="19">
        <f t="shared" si="7"/>
        <v>0</v>
      </c>
      <c r="GN11" s="33" t="str">
        <f>IF(Activities!I11=GM11,"OK","Error")</f>
        <v>OK</v>
      </c>
      <c r="GO11" s="19">
        <f t="shared" si="8"/>
        <v>0</v>
      </c>
      <c r="GP11" s="33" t="str">
        <f>IF(Activities!J11=GO11,"OK","Error")</f>
        <v>OK</v>
      </c>
      <c r="GQ11" s="19">
        <f t="shared" si="9"/>
        <v>0</v>
      </c>
      <c r="GR11" s="33" t="str">
        <f>IF(Activities!K11=GQ11,"OK","Error")</f>
        <v>OK</v>
      </c>
      <c r="GS11" s="19">
        <f t="shared" si="10"/>
        <v>0</v>
      </c>
      <c r="GT11" s="33" t="str">
        <f>IF(Activities!L11=GS11,"OK","Error")</f>
        <v>OK</v>
      </c>
      <c r="GU11" s="19">
        <f t="shared" si="11"/>
        <v>0</v>
      </c>
      <c r="GV11" s="33" t="str">
        <f>IF(Activities!M11=GU11,"OK","Error")</f>
        <v>OK</v>
      </c>
      <c r="GW11" s="19">
        <f t="shared" si="12"/>
        <v>0</v>
      </c>
      <c r="GX11" s="33" t="str">
        <f>IF(Activities!N11=GW11,"OK","Error")</f>
        <v>OK</v>
      </c>
      <c r="GY11" s="19">
        <f t="shared" si="13"/>
        <v>0</v>
      </c>
      <c r="GZ11" s="33" t="str">
        <f>IF(Activities!O11=GY11,"OK","Error")</f>
        <v>OK</v>
      </c>
      <c r="HA11" s="19">
        <f t="shared" si="14"/>
        <v>0</v>
      </c>
      <c r="HB11" s="33" t="str">
        <f>IF(Activities!P11=HA11,"OK","Error")</f>
        <v>OK</v>
      </c>
      <c r="HC11" s="19">
        <f t="shared" si="15"/>
        <v>0</v>
      </c>
      <c r="HD11" s="33" t="str">
        <f>IF(Activities!Q11=HC11,"OK","Error")</f>
        <v>OK</v>
      </c>
      <c r="HE11" s="19">
        <f t="shared" si="16"/>
        <v>0</v>
      </c>
      <c r="HF11" s="33" t="str">
        <f>IF(Activities!R11=HE11,"OK","Error")</f>
        <v>OK</v>
      </c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</row>
    <row r="12" spans="1:239" s="76" customFormat="1" ht="22.05" hidden="1" customHeight="1" x14ac:dyDescent="0.35">
      <c r="A12" s="34">
        <v>10</v>
      </c>
      <c r="B12" s="134" t="str">
        <f>IF(Top_10="","",Top_10)</f>
        <v/>
      </c>
      <c r="C12" s="20" t="str">
        <f>IF(TopV_10="","",TopV_10)</f>
        <v/>
      </c>
      <c r="D12" s="34">
        <f>Topics!F12</f>
        <v>0</v>
      </c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4">
        <f>Topics!G12</f>
        <v>0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4">
        <f>Topics!H12</f>
        <v>0</v>
      </c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4">
        <f>Topics!I12</f>
        <v>0</v>
      </c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4">
        <f>Topics!J12</f>
        <v>0</v>
      </c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4">
        <f>Topics!K12</f>
        <v>0</v>
      </c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4">
        <f>Topics!L12</f>
        <v>0</v>
      </c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4">
        <f>Topics!M12</f>
        <v>0</v>
      </c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4">
        <f>Topics!N12</f>
        <v>0</v>
      </c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4">
        <f>Topics!O12</f>
        <v>0</v>
      </c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4">
        <f>Topics!P12</f>
        <v>0</v>
      </c>
      <c r="EC12" s="37"/>
      <c r="ED12" s="37"/>
      <c r="EE12" s="37"/>
      <c r="EF12" s="37"/>
      <c r="EG12" s="37"/>
      <c r="EH12" s="37"/>
      <c r="EI12" s="37"/>
      <c r="EJ12" s="37"/>
      <c r="EK12" s="37"/>
      <c r="EL12" s="34">
        <f>Topics!Q12</f>
        <v>0</v>
      </c>
      <c r="EM12" s="37"/>
      <c r="EN12" s="37"/>
      <c r="EO12" s="37"/>
      <c r="EP12" s="37"/>
      <c r="EQ12" s="37"/>
      <c r="ER12" s="37"/>
      <c r="ES12" s="37"/>
      <c r="ET12" s="37"/>
      <c r="EU12" s="37"/>
      <c r="EV12" s="34">
        <f>Topics!R12</f>
        <v>0</v>
      </c>
      <c r="EW12" s="37"/>
      <c r="EX12" s="37"/>
      <c r="EY12" s="37"/>
      <c r="EZ12" s="37"/>
      <c r="FA12" s="37"/>
      <c r="FB12" s="37"/>
      <c r="FC12" s="37"/>
      <c r="FD12" s="37"/>
      <c r="FE12" s="37"/>
      <c r="FF12" s="34">
        <f>Topics!S12</f>
        <v>0</v>
      </c>
      <c r="FG12" s="37"/>
      <c r="FH12" s="37"/>
      <c r="FI12" s="37"/>
      <c r="FJ12" s="37"/>
      <c r="FK12" s="37"/>
      <c r="FL12" s="37"/>
      <c r="FM12" s="37"/>
      <c r="FN12" s="37"/>
      <c r="FO12" s="37"/>
      <c r="FP12" s="34">
        <f>Topics!T12</f>
        <v>0</v>
      </c>
      <c r="FQ12" s="37"/>
      <c r="FR12" s="37"/>
      <c r="FS12" s="37"/>
      <c r="FT12" s="37"/>
      <c r="FU12" s="37"/>
      <c r="FV12" s="37"/>
      <c r="FW12" s="37"/>
      <c r="FX12" s="37"/>
      <c r="FY12" s="37"/>
      <c r="FZ12" s="33" t="str">
        <f t="shared" si="0"/>
        <v>Error</v>
      </c>
      <c r="GA12" s="225"/>
      <c r="GB12" s="34">
        <f t="shared" si="1"/>
        <v>10</v>
      </c>
      <c r="GC12" s="19">
        <f t="shared" si="2"/>
        <v>0</v>
      </c>
      <c r="GD12" s="33" t="str">
        <f>IF(Activities!D12=GC12,"OK","Error")</f>
        <v>OK</v>
      </c>
      <c r="GE12" s="19">
        <f t="shared" si="3"/>
        <v>0</v>
      </c>
      <c r="GF12" s="33" t="str">
        <f>IF(Activities!E12=GE12,"OK","Error")</f>
        <v>OK</v>
      </c>
      <c r="GG12" s="19">
        <f t="shared" si="4"/>
        <v>0</v>
      </c>
      <c r="GH12" s="33" t="str">
        <f>IF(Activities!F12=GG12,"OK","Error")</f>
        <v>OK</v>
      </c>
      <c r="GI12" s="19">
        <f t="shared" si="5"/>
        <v>0</v>
      </c>
      <c r="GJ12" s="33" t="str">
        <f>IF(Activities!G12=GI12,"OK","Error")</f>
        <v>OK</v>
      </c>
      <c r="GK12" s="19">
        <f t="shared" si="6"/>
        <v>0</v>
      </c>
      <c r="GL12" s="33" t="str">
        <f>IF(Activities!H12=GK12,"OK","Error")</f>
        <v>OK</v>
      </c>
      <c r="GM12" s="19">
        <f t="shared" si="7"/>
        <v>0</v>
      </c>
      <c r="GN12" s="33" t="str">
        <f>IF(Activities!I12=GM12,"OK","Error")</f>
        <v>OK</v>
      </c>
      <c r="GO12" s="19">
        <f t="shared" si="8"/>
        <v>0</v>
      </c>
      <c r="GP12" s="33" t="str">
        <f>IF(Activities!J12=GO12,"OK","Error")</f>
        <v>OK</v>
      </c>
      <c r="GQ12" s="19">
        <f t="shared" si="9"/>
        <v>0</v>
      </c>
      <c r="GR12" s="33" t="str">
        <f>IF(Activities!K12=GQ12,"OK","Error")</f>
        <v>OK</v>
      </c>
      <c r="GS12" s="19">
        <f t="shared" si="10"/>
        <v>0</v>
      </c>
      <c r="GT12" s="33" t="str">
        <f>IF(Activities!L12=GS12,"OK","Error")</f>
        <v>OK</v>
      </c>
      <c r="GU12" s="19">
        <f t="shared" si="11"/>
        <v>0</v>
      </c>
      <c r="GV12" s="33" t="str">
        <f>IF(Activities!M12=GU12,"OK","Error")</f>
        <v>OK</v>
      </c>
      <c r="GW12" s="19">
        <f t="shared" si="12"/>
        <v>0</v>
      </c>
      <c r="GX12" s="33" t="str">
        <f>IF(Activities!N12=GW12,"OK","Error")</f>
        <v>OK</v>
      </c>
      <c r="GY12" s="19">
        <f t="shared" si="13"/>
        <v>0</v>
      </c>
      <c r="GZ12" s="33" t="str">
        <f>IF(Activities!O12=GY12,"OK","Error")</f>
        <v>OK</v>
      </c>
      <c r="HA12" s="19">
        <f t="shared" si="14"/>
        <v>0</v>
      </c>
      <c r="HB12" s="33" t="str">
        <f>IF(Activities!P12=HA12,"OK","Error")</f>
        <v>OK</v>
      </c>
      <c r="HC12" s="19">
        <f t="shared" si="15"/>
        <v>0</v>
      </c>
      <c r="HD12" s="33" t="str">
        <f>IF(Activities!Q12=HC12,"OK","Error")</f>
        <v>OK</v>
      </c>
      <c r="HE12" s="19">
        <f t="shared" si="16"/>
        <v>0</v>
      </c>
      <c r="HF12" s="33" t="str">
        <f>IF(Activities!R12=HE12,"OK","Error")</f>
        <v>OK</v>
      </c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</row>
    <row r="13" spans="1:239" s="76" customFormat="1" ht="22.05" hidden="1" customHeight="1" x14ac:dyDescent="0.35">
      <c r="A13" s="34">
        <v>11</v>
      </c>
      <c r="B13" s="133" t="str">
        <f>IF(Top_11="","",Top_11)</f>
        <v/>
      </c>
      <c r="C13" s="17" t="str">
        <f>IF(TopV_11="","",TopV_11)</f>
        <v/>
      </c>
      <c r="D13" s="34">
        <f>Topics!F13</f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4">
        <f>Topics!G13</f>
        <v>0</v>
      </c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4">
        <f>Topics!H13</f>
        <v>0</v>
      </c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4">
        <f>Topics!I13</f>
        <v>0</v>
      </c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4">
        <f>Topics!J13</f>
        <v>0</v>
      </c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4">
        <f>Topics!K13</f>
        <v>0</v>
      </c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4">
        <f>Topics!L13</f>
        <v>0</v>
      </c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4">
        <f>Topics!M13</f>
        <v>0</v>
      </c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4">
        <f>Topics!N13</f>
        <v>0</v>
      </c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4">
        <f>Topics!O13</f>
        <v>0</v>
      </c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4">
        <f>Topics!P13</f>
        <v>0</v>
      </c>
      <c r="EC13" s="36"/>
      <c r="ED13" s="36"/>
      <c r="EE13" s="36"/>
      <c r="EF13" s="36"/>
      <c r="EG13" s="36"/>
      <c r="EH13" s="36"/>
      <c r="EI13" s="36"/>
      <c r="EJ13" s="36"/>
      <c r="EK13" s="36"/>
      <c r="EL13" s="34">
        <f>Topics!Q13</f>
        <v>0</v>
      </c>
      <c r="EM13" s="36"/>
      <c r="EN13" s="36"/>
      <c r="EO13" s="36"/>
      <c r="EP13" s="36"/>
      <c r="EQ13" s="36"/>
      <c r="ER13" s="36"/>
      <c r="ES13" s="36"/>
      <c r="ET13" s="36"/>
      <c r="EU13" s="36"/>
      <c r="EV13" s="34">
        <f>Topics!R13</f>
        <v>0</v>
      </c>
      <c r="EW13" s="36"/>
      <c r="EX13" s="36"/>
      <c r="EY13" s="36"/>
      <c r="EZ13" s="36"/>
      <c r="FA13" s="36"/>
      <c r="FB13" s="36"/>
      <c r="FC13" s="36"/>
      <c r="FD13" s="36"/>
      <c r="FE13" s="36"/>
      <c r="FF13" s="34">
        <f>Topics!S13</f>
        <v>0</v>
      </c>
      <c r="FG13" s="36"/>
      <c r="FH13" s="36"/>
      <c r="FI13" s="36"/>
      <c r="FJ13" s="36"/>
      <c r="FK13" s="36"/>
      <c r="FL13" s="36"/>
      <c r="FM13" s="36"/>
      <c r="FN13" s="36"/>
      <c r="FO13" s="36"/>
      <c r="FP13" s="34">
        <f>Topics!T13</f>
        <v>0</v>
      </c>
      <c r="FQ13" s="36"/>
      <c r="FR13" s="36"/>
      <c r="FS13" s="36"/>
      <c r="FT13" s="36"/>
      <c r="FU13" s="36"/>
      <c r="FV13" s="36"/>
      <c r="FW13" s="36"/>
      <c r="FX13" s="36"/>
      <c r="FY13" s="36"/>
      <c r="FZ13" s="33" t="str">
        <f t="shared" si="0"/>
        <v>Error</v>
      </c>
      <c r="GA13" s="225"/>
      <c r="GB13" s="34">
        <f t="shared" si="1"/>
        <v>11</v>
      </c>
      <c r="GC13" s="19">
        <f t="shared" si="2"/>
        <v>0</v>
      </c>
      <c r="GD13" s="33" t="str">
        <f>IF(Activities!D13=GC13,"OK","Error")</f>
        <v>OK</v>
      </c>
      <c r="GE13" s="19">
        <f t="shared" si="3"/>
        <v>0</v>
      </c>
      <c r="GF13" s="33" t="str">
        <f>IF(Activities!E13=GE13,"OK","Error")</f>
        <v>OK</v>
      </c>
      <c r="GG13" s="19">
        <f t="shared" si="4"/>
        <v>0</v>
      </c>
      <c r="GH13" s="33" t="str">
        <f>IF(Activities!F13=GG13,"OK","Error")</f>
        <v>OK</v>
      </c>
      <c r="GI13" s="19">
        <f t="shared" si="5"/>
        <v>0</v>
      </c>
      <c r="GJ13" s="33" t="str">
        <f>IF(Activities!G13=GI13,"OK","Error")</f>
        <v>OK</v>
      </c>
      <c r="GK13" s="19">
        <f t="shared" si="6"/>
        <v>0</v>
      </c>
      <c r="GL13" s="33" t="str">
        <f>IF(Activities!H13=GK13,"OK","Error")</f>
        <v>OK</v>
      </c>
      <c r="GM13" s="19">
        <f t="shared" si="7"/>
        <v>0</v>
      </c>
      <c r="GN13" s="33" t="str">
        <f>IF(Activities!I13=GM13,"OK","Error")</f>
        <v>OK</v>
      </c>
      <c r="GO13" s="19">
        <f t="shared" si="8"/>
        <v>0</v>
      </c>
      <c r="GP13" s="33" t="str">
        <f>IF(Activities!J13=GO13,"OK","Error")</f>
        <v>OK</v>
      </c>
      <c r="GQ13" s="19">
        <f t="shared" si="9"/>
        <v>0</v>
      </c>
      <c r="GR13" s="33" t="str">
        <f>IF(Activities!K13=GQ13,"OK","Error")</f>
        <v>OK</v>
      </c>
      <c r="GS13" s="19">
        <f t="shared" si="10"/>
        <v>0</v>
      </c>
      <c r="GT13" s="33" t="str">
        <f>IF(Activities!L13=GS13,"OK","Error")</f>
        <v>OK</v>
      </c>
      <c r="GU13" s="19">
        <f t="shared" si="11"/>
        <v>0</v>
      </c>
      <c r="GV13" s="33" t="str">
        <f>IF(Activities!M13=GU13,"OK","Error")</f>
        <v>OK</v>
      </c>
      <c r="GW13" s="19">
        <f t="shared" si="12"/>
        <v>0</v>
      </c>
      <c r="GX13" s="33" t="str">
        <f>IF(Activities!N13=GW13,"OK","Error")</f>
        <v>OK</v>
      </c>
      <c r="GY13" s="19">
        <f t="shared" si="13"/>
        <v>0</v>
      </c>
      <c r="GZ13" s="33" t="str">
        <f>IF(Activities!O13=GY13,"OK","Error")</f>
        <v>OK</v>
      </c>
      <c r="HA13" s="19">
        <f t="shared" si="14"/>
        <v>0</v>
      </c>
      <c r="HB13" s="33" t="str">
        <f>IF(Activities!P13=HA13,"OK","Error")</f>
        <v>OK</v>
      </c>
      <c r="HC13" s="19">
        <f t="shared" si="15"/>
        <v>0</v>
      </c>
      <c r="HD13" s="33" t="str">
        <f>IF(Activities!Q13=HC13,"OK","Error")</f>
        <v>OK</v>
      </c>
      <c r="HE13" s="19">
        <f t="shared" si="16"/>
        <v>0</v>
      </c>
      <c r="HF13" s="33" t="str">
        <f>IF(Activities!R13=HE13,"OK","Error")</f>
        <v>OK</v>
      </c>
      <c r="HG13"/>
      <c r="HH13"/>
      <c r="HI13" s="2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</row>
    <row r="14" spans="1:239" s="76" customFormat="1" ht="22.05" hidden="1" customHeight="1" x14ac:dyDescent="0.35">
      <c r="A14" s="34">
        <v>12</v>
      </c>
      <c r="B14" s="134" t="str">
        <f>IF(Top_12="","",Top_12)</f>
        <v/>
      </c>
      <c r="C14" s="20" t="str">
        <f>IF(TopV_12="","",TopV_12)</f>
        <v/>
      </c>
      <c r="D14" s="75">
        <f>Topics!F14</f>
        <v>0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75">
        <f>Topics!G14</f>
        <v>0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75">
        <f>Topics!H14</f>
        <v>0</v>
      </c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4">
        <f>Topics!I14</f>
        <v>0</v>
      </c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4">
        <f>Topics!J14</f>
        <v>0</v>
      </c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4">
        <f>Topics!K14</f>
        <v>0</v>
      </c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4">
        <f>Topics!L14</f>
        <v>0</v>
      </c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4">
        <f>Topics!M14</f>
        <v>0</v>
      </c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4">
        <f>Topics!N14</f>
        <v>0</v>
      </c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4">
        <f>Topics!O14</f>
        <v>0</v>
      </c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4">
        <f>Topics!P14</f>
        <v>0</v>
      </c>
      <c r="EC14" s="37"/>
      <c r="ED14" s="37"/>
      <c r="EE14" s="37"/>
      <c r="EF14" s="37"/>
      <c r="EG14" s="37"/>
      <c r="EH14" s="37"/>
      <c r="EI14" s="37"/>
      <c r="EJ14" s="37"/>
      <c r="EK14" s="37"/>
      <c r="EL14" s="34">
        <f>Topics!Q14</f>
        <v>0</v>
      </c>
      <c r="EM14" s="37"/>
      <c r="EN14" s="37"/>
      <c r="EO14" s="37"/>
      <c r="EP14" s="37"/>
      <c r="EQ14" s="37"/>
      <c r="ER14" s="37"/>
      <c r="ES14" s="37"/>
      <c r="ET14" s="37"/>
      <c r="EU14" s="37"/>
      <c r="EV14" s="34">
        <f>Topics!R14</f>
        <v>0</v>
      </c>
      <c r="EW14" s="37"/>
      <c r="EX14" s="37"/>
      <c r="EY14" s="37"/>
      <c r="EZ14" s="37"/>
      <c r="FA14" s="37"/>
      <c r="FB14" s="37"/>
      <c r="FC14" s="37"/>
      <c r="FD14" s="37"/>
      <c r="FE14" s="37"/>
      <c r="FF14" s="34">
        <f>Topics!S14</f>
        <v>0</v>
      </c>
      <c r="FG14" s="37"/>
      <c r="FH14" s="37"/>
      <c r="FI14" s="37"/>
      <c r="FJ14" s="37"/>
      <c r="FK14" s="37"/>
      <c r="FL14" s="37"/>
      <c r="FM14" s="37"/>
      <c r="FN14" s="37"/>
      <c r="FO14" s="37"/>
      <c r="FP14" s="34">
        <f>Topics!T14</f>
        <v>0</v>
      </c>
      <c r="FQ14" s="37"/>
      <c r="FR14" s="37"/>
      <c r="FS14" s="37"/>
      <c r="FT14" s="37"/>
      <c r="FU14" s="37"/>
      <c r="FV14" s="37"/>
      <c r="FW14" s="37"/>
      <c r="FX14" s="37"/>
      <c r="FY14" s="37"/>
      <c r="FZ14" s="33" t="str">
        <f t="shared" si="0"/>
        <v>Error</v>
      </c>
      <c r="GA14" s="225"/>
      <c r="GB14" s="34">
        <f t="shared" si="1"/>
        <v>12</v>
      </c>
      <c r="GC14" s="19">
        <f t="shared" si="2"/>
        <v>0</v>
      </c>
      <c r="GD14" s="33" t="str">
        <f>IF(Activities!D14=GC14,"OK","Error")</f>
        <v>OK</v>
      </c>
      <c r="GE14" s="19">
        <f t="shared" si="3"/>
        <v>0</v>
      </c>
      <c r="GF14" s="33" t="str">
        <f>IF(Activities!E14=GE14,"OK","Error")</f>
        <v>OK</v>
      </c>
      <c r="GG14" s="19">
        <f t="shared" si="4"/>
        <v>0</v>
      </c>
      <c r="GH14" s="33" t="str">
        <f>IF(Activities!F14=GG14,"OK","Error")</f>
        <v>OK</v>
      </c>
      <c r="GI14" s="19">
        <f t="shared" si="5"/>
        <v>0</v>
      </c>
      <c r="GJ14" s="33" t="str">
        <f>IF(Activities!G14=GI14,"OK","Error")</f>
        <v>OK</v>
      </c>
      <c r="GK14" s="19">
        <f t="shared" si="6"/>
        <v>0</v>
      </c>
      <c r="GL14" s="33" t="str">
        <f>IF(Activities!H14=GK14,"OK","Error")</f>
        <v>OK</v>
      </c>
      <c r="GM14" s="19">
        <f t="shared" si="7"/>
        <v>0</v>
      </c>
      <c r="GN14" s="33" t="str">
        <f>IF(Activities!I14=GM14,"OK","Error")</f>
        <v>OK</v>
      </c>
      <c r="GO14" s="19">
        <f t="shared" si="8"/>
        <v>0</v>
      </c>
      <c r="GP14" s="33" t="str">
        <f>IF(Activities!J14=GO14,"OK","Error")</f>
        <v>OK</v>
      </c>
      <c r="GQ14" s="19">
        <f t="shared" si="9"/>
        <v>0</v>
      </c>
      <c r="GR14" s="33" t="str">
        <f>IF(Activities!K14=GQ14,"OK","Error")</f>
        <v>OK</v>
      </c>
      <c r="GS14" s="19">
        <f t="shared" si="10"/>
        <v>0</v>
      </c>
      <c r="GT14" s="33" t="str">
        <f>IF(Activities!L14=GS14,"OK","Error")</f>
        <v>OK</v>
      </c>
      <c r="GU14" s="19">
        <f t="shared" si="11"/>
        <v>0</v>
      </c>
      <c r="GV14" s="33" t="str">
        <f>IF(Activities!M14=GU14,"OK","Error")</f>
        <v>OK</v>
      </c>
      <c r="GW14" s="19">
        <f t="shared" si="12"/>
        <v>0</v>
      </c>
      <c r="GX14" s="33" t="str">
        <f>IF(Activities!N14=GW14,"OK","Error")</f>
        <v>OK</v>
      </c>
      <c r="GY14" s="19">
        <f t="shared" si="13"/>
        <v>0</v>
      </c>
      <c r="GZ14" s="33" t="str">
        <f>IF(Activities!O14=GY14,"OK","Error")</f>
        <v>OK</v>
      </c>
      <c r="HA14" s="19">
        <f t="shared" si="14"/>
        <v>0</v>
      </c>
      <c r="HB14" s="33" t="str">
        <f>IF(Activities!P14=HA14,"OK","Error")</f>
        <v>OK</v>
      </c>
      <c r="HC14" s="19">
        <f t="shared" si="15"/>
        <v>0</v>
      </c>
      <c r="HD14" s="33" t="str">
        <f>IF(Activities!Q14=HC14,"OK","Error")</f>
        <v>OK</v>
      </c>
      <c r="HE14" s="19">
        <f t="shared" si="16"/>
        <v>0</v>
      </c>
      <c r="HF14" s="33" t="str">
        <f>IF(Activities!R14=HE14,"OK","Error")</f>
        <v>OK</v>
      </c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</row>
    <row r="15" spans="1:239" s="76" customFormat="1" ht="22.05" hidden="1" customHeight="1" x14ac:dyDescent="0.35">
      <c r="A15" s="34">
        <v>13</v>
      </c>
      <c r="B15" s="133" t="str">
        <f>IF(Top_13="","",Top_13)</f>
        <v/>
      </c>
      <c r="C15" s="17" t="str">
        <f>IF(TopV_13="","",TopV_13)</f>
        <v/>
      </c>
      <c r="D15" s="34">
        <f>Topics!F15</f>
        <v>0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4">
        <f>Topics!G15</f>
        <v>0</v>
      </c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4">
        <f>Topics!H15</f>
        <v>0</v>
      </c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4">
        <f>Topics!I15</f>
        <v>0</v>
      </c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4">
        <f>Topics!J15</f>
        <v>0</v>
      </c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4">
        <f>Topics!K15</f>
        <v>0</v>
      </c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4">
        <f>Topics!L15</f>
        <v>0</v>
      </c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4">
        <f>Topics!M15</f>
        <v>0</v>
      </c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4">
        <f>Topics!N15</f>
        <v>0</v>
      </c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4">
        <f>Topics!O15</f>
        <v>0</v>
      </c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4">
        <f>Topics!P15</f>
        <v>0</v>
      </c>
      <c r="EC15" s="36"/>
      <c r="ED15" s="36"/>
      <c r="EE15" s="36"/>
      <c r="EF15" s="36"/>
      <c r="EG15" s="36"/>
      <c r="EH15" s="36"/>
      <c r="EI15" s="36"/>
      <c r="EJ15" s="36"/>
      <c r="EK15" s="36"/>
      <c r="EL15" s="34">
        <f>Topics!Q15</f>
        <v>0</v>
      </c>
      <c r="EM15" s="36"/>
      <c r="EN15" s="36"/>
      <c r="EO15" s="36"/>
      <c r="EP15" s="36"/>
      <c r="EQ15" s="36"/>
      <c r="ER15" s="36"/>
      <c r="ES15" s="36"/>
      <c r="ET15" s="36"/>
      <c r="EU15" s="36"/>
      <c r="EV15" s="34">
        <f>Topics!R15</f>
        <v>0</v>
      </c>
      <c r="EW15" s="36"/>
      <c r="EX15" s="36"/>
      <c r="EY15" s="36"/>
      <c r="EZ15" s="36"/>
      <c r="FA15" s="36"/>
      <c r="FB15" s="36"/>
      <c r="FC15" s="36"/>
      <c r="FD15" s="36"/>
      <c r="FE15" s="36"/>
      <c r="FF15" s="34">
        <f>Topics!S15</f>
        <v>0</v>
      </c>
      <c r="FG15" s="36"/>
      <c r="FH15" s="36"/>
      <c r="FI15" s="36"/>
      <c r="FJ15" s="36"/>
      <c r="FK15" s="36"/>
      <c r="FL15" s="36"/>
      <c r="FM15" s="36"/>
      <c r="FN15" s="36"/>
      <c r="FO15" s="36"/>
      <c r="FP15" s="34">
        <f>Topics!T15</f>
        <v>0</v>
      </c>
      <c r="FQ15" s="36"/>
      <c r="FR15" s="36"/>
      <c r="FS15" s="36"/>
      <c r="FT15" s="36"/>
      <c r="FU15" s="36"/>
      <c r="FV15" s="36"/>
      <c r="FW15" s="36"/>
      <c r="FX15" s="36"/>
      <c r="FY15" s="36"/>
      <c r="FZ15" s="33" t="str">
        <f t="shared" si="0"/>
        <v>Error</v>
      </c>
      <c r="GA15" s="225"/>
      <c r="GB15" s="34">
        <f t="shared" si="1"/>
        <v>13</v>
      </c>
      <c r="GC15" s="19">
        <f t="shared" si="2"/>
        <v>0</v>
      </c>
      <c r="GD15" s="33" t="str">
        <f>IF(Activities!D15=GC15,"OK","Error")</f>
        <v>OK</v>
      </c>
      <c r="GE15" s="19">
        <f t="shared" si="3"/>
        <v>0</v>
      </c>
      <c r="GF15" s="33" t="str">
        <f>IF(Activities!E15=GE15,"OK","Error")</f>
        <v>OK</v>
      </c>
      <c r="GG15" s="19">
        <f t="shared" si="4"/>
        <v>0</v>
      </c>
      <c r="GH15" s="33" t="str">
        <f>IF(Activities!F15=GG15,"OK","Error")</f>
        <v>OK</v>
      </c>
      <c r="GI15" s="19">
        <f t="shared" si="5"/>
        <v>0</v>
      </c>
      <c r="GJ15" s="33" t="str">
        <f>IF(Activities!G15=GI15,"OK","Error")</f>
        <v>OK</v>
      </c>
      <c r="GK15" s="19">
        <f t="shared" si="6"/>
        <v>0</v>
      </c>
      <c r="GL15" s="33" t="str">
        <f>IF(Activities!H15=GK15,"OK","Error")</f>
        <v>OK</v>
      </c>
      <c r="GM15" s="19">
        <f t="shared" si="7"/>
        <v>0</v>
      </c>
      <c r="GN15" s="33" t="str">
        <f>IF(Activities!I15=GM15,"OK","Error")</f>
        <v>OK</v>
      </c>
      <c r="GO15" s="19">
        <f t="shared" si="8"/>
        <v>0</v>
      </c>
      <c r="GP15" s="33" t="str">
        <f>IF(Activities!J15=GO15,"OK","Error")</f>
        <v>OK</v>
      </c>
      <c r="GQ15" s="19">
        <f t="shared" si="9"/>
        <v>0</v>
      </c>
      <c r="GR15" s="33" t="str">
        <f>IF(Activities!K15=GQ15,"OK","Error")</f>
        <v>OK</v>
      </c>
      <c r="GS15" s="19">
        <f t="shared" si="10"/>
        <v>0</v>
      </c>
      <c r="GT15" s="33" t="str">
        <f>IF(Activities!L15=GS15,"OK","Error")</f>
        <v>OK</v>
      </c>
      <c r="GU15" s="19">
        <f t="shared" si="11"/>
        <v>0</v>
      </c>
      <c r="GV15" s="33" t="str">
        <f>IF(Activities!M15=GU15,"OK","Error")</f>
        <v>OK</v>
      </c>
      <c r="GW15" s="19">
        <f t="shared" si="12"/>
        <v>0</v>
      </c>
      <c r="GX15" s="33" t="str">
        <f>IF(Activities!N15=GW15,"OK","Error")</f>
        <v>OK</v>
      </c>
      <c r="GY15" s="19">
        <f t="shared" si="13"/>
        <v>0</v>
      </c>
      <c r="GZ15" s="33" t="str">
        <f>IF(Activities!O15=GY15,"OK","Error")</f>
        <v>OK</v>
      </c>
      <c r="HA15" s="19">
        <f t="shared" si="14"/>
        <v>0</v>
      </c>
      <c r="HB15" s="33" t="str">
        <f>IF(Activities!P15=HA15,"OK","Error")</f>
        <v>OK</v>
      </c>
      <c r="HC15" s="19">
        <f t="shared" si="15"/>
        <v>0</v>
      </c>
      <c r="HD15" s="33" t="str">
        <f>IF(Activities!Q15=HC15,"OK","Error")</f>
        <v>OK</v>
      </c>
      <c r="HE15" s="19">
        <f t="shared" si="16"/>
        <v>0</v>
      </c>
      <c r="HF15" s="33" t="str">
        <f>IF(Activities!R15=HE15,"OK","Error")</f>
        <v>OK</v>
      </c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</row>
    <row r="16" spans="1:239" s="76" customFormat="1" ht="22.05" hidden="1" customHeight="1" x14ac:dyDescent="0.35">
      <c r="A16" s="34">
        <v>14</v>
      </c>
      <c r="B16" s="134" t="str">
        <f>IF(Top_14="","",Top_14)</f>
        <v/>
      </c>
      <c r="C16" s="20" t="str">
        <f>IF(TopV_14="","",TopV_14)</f>
        <v/>
      </c>
      <c r="D16" s="34">
        <f>Topics!F16</f>
        <v>0</v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4">
        <f>Topics!G16</f>
        <v>0</v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4">
        <f>Topics!H16</f>
        <v>0</v>
      </c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4">
        <f>Topics!I16</f>
        <v>0</v>
      </c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4">
        <f>Topics!J16</f>
        <v>0</v>
      </c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4">
        <f>Topics!K16</f>
        <v>0</v>
      </c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4">
        <f>Topics!L16</f>
        <v>0</v>
      </c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4">
        <f>Topics!M16</f>
        <v>0</v>
      </c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4">
        <f>Topics!N16</f>
        <v>0</v>
      </c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4">
        <f>Topics!O16</f>
        <v>0</v>
      </c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4">
        <f>Topics!P16</f>
        <v>0</v>
      </c>
      <c r="EC16" s="37"/>
      <c r="ED16" s="37"/>
      <c r="EE16" s="37"/>
      <c r="EF16" s="37"/>
      <c r="EG16" s="37"/>
      <c r="EH16" s="37"/>
      <c r="EI16" s="37"/>
      <c r="EJ16" s="37"/>
      <c r="EK16" s="37"/>
      <c r="EL16" s="34">
        <f>Topics!Q16</f>
        <v>0</v>
      </c>
      <c r="EM16" s="37"/>
      <c r="EN16" s="37"/>
      <c r="EO16" s="37"/>
      <c r="EP16" s="37"/>
      <c r="EQ16" s="37"/>
      <c r="ER16" s="37"/>
      <c r="ES16" s="37"/>
      <c r="ET16" s="37"/>
      <c r="EU16" s="37"/>
      <c r="EV16" s="34">
        <f>Topics!R16</f>
        <v>0</v>
      </c>
      <c r="EW16" s="37"/>
      <c r="EX16" s="37"/>
      <c r="EY16" s="37"/>
      <c r="EZ16" s="37"/>
      <c r="FA16" s="37"/>
      <c r="FB16" s="37"/>
      <c r="FC16" s="37"/>
      <c r="FD16" s="37"/>
      <c r="FE16" s="37"/>
      <c r="FF16" s="34">
        <f>Topics!S16</f>
        <v>0</v>
      </c>
      <c r="FG16" s="37"/>
      <c r="FH16" s="37"/>
      <c r="FI16" s="37"/>
      <c r="FJ16" s="37"/>
      <c r="FK16" s="37"/>
      <c r="FL16" s="37"/>
      <c r="FM16" s="37"/>
      <c r="FN16" s="37"/>
      <c r="FO16" s="37"/>
      <c r="FP16" s="34">
        <f>Topics!T16</f>
        <v>0</v>
      </c>
      <c r="FQ16" s="37"/>
      <c r="FR16" s="37"/>
      <c r="FS16" s="37"/>
      <c r="FT16" s="37"/>
      <c r="FU16" s="37"/>
      <c r="FV16" s="37"/>
      <c r="FW16" s="37"/>
      <c r="FX16" s="37"/>
      <c r="FY16" s="37"/>
      <c r="FZ16" s="33" t="str">
        <f t="shared" si="0"/>
        <v>Error</v>
      </c>
      <c r="GA16" s="225"/>
      <c r="GB16" s="34">
        <f t="shared" si="1"/>
        <v>14</v>
      </c>
      <c r="GC16" s="19">
        <f t="shared" si="2"/>
        <v>0</v>
      </c>
      <c r="GD16" s="33" t="str">
        <f>IF(Activities!D16=GC16,"OK","Error")</f>
        <v>OK</v>
      </c>
      <c r="GE16" s="19">
        <f t="shared" si="3"/>
        <v>0</v>
      </c>
      <c r="GF16" s="33" t="str">
        <f>IF(Activities!E16=GE16,"OK","Error")</f>
        <v>OK</v>
      </c>
      <c r="GG16" s="19">
        <f t="shared" si="4"/>
        <v>0</v>
      </c>
      <c r="GH16" s="33" t="str">
        <f>IF(Activities!F16=GG16,"OK","Error")</f>
        <v>OK</v>
      </c>
      <c r="GI16" s="19">
        <f t="shared" si="5"/>
        <v>0</v>
      </c>
      <c r="GJ16" s="33" t="str">
        <f>IF(Activities!G16=GI16,"OK","Error")</f>
        <v>OK</v>
      </c>
      <c r="GK16" s="19">
        <f t="shared" si="6"/>
        <v>0</v>
      </c>
      <c r="GL16" s="33" t="str">
        <f>IF(Activities!H16=GK16,"OK","Error")</f>
        <v>OK</v>
      </c>
      <c r="GM16" s="19">
        <f t="shared" si="7"/>
        <v>0</v>
      </c>
      <c r="GN16" s="33" t="str">
        <f>IF(Activities!I16=GM16,"OK","Error")</f>
        <v>OK</v>
      </c>
      <c r="GO16" s="19">
        <f t="shared" si="8"/>
        <v>0</v>
      </c>
      <c r="GP16" s="33" t="str">
        <f>IF(Activities!J16=GO16,"OK","Error")</f>
        <v>OK</v>
      </c>
      <c r="GQ16" s="19">
        <f t="shared" si="9"/>
        <v>0</v>
      </c>
      <c r="GR16" s="33" t="str">
        <f>IF(Activities!K16=GQ16,"OK","Error")</f>
        <v>OK</v>
      </c>
      <c r="GS16" s="19">
        <f t="shared" si="10"/>
        <v>0</v>
      </c>
      <c r="GT16" s="33" t="str">
        <f>IF(Activities!L16=GS16,"OK","Error")</f>
        <v>OK</v>
      </c>
      <c r="GU16" s="19">
        <f t="shared" si="11"/>
        <v>0</v>
      </c>
      <c r="GV16" s="33" t="str">
        <f>IF(Activities!M16=GU16,"OK","Error")</f>
        <v>OK</v>
      </c>
      <c r="GW16" s="19">
        <f t="shared" si="12"/>
        <v>0</v>
      </c>
      <c r="GX16" s="33" t="str">
        <f>IF(Activities!N16=GW16,"OK","Error")</f>
        <v>OK</v>
      </c>
      <c r="GY16" s="19">
        <f t="shared" si="13"/>
        <v>0</v>
      </c>
      <c r="GZ16" s="33" t="str">
        <f>IF(Activities!O16=GY16,"OK","Error")</f>
        <v>OK</v>
      </c>
      <c r="HA16" s="19">
        <f t="shared" si="14"/>
        <v>0</v>
      </c>
      <c r="HB16" s="33" t="str">
        <f>IF(Activities!P16=HA16,"OK","Error")</f>
        <v>OK</v>
      </c>
      <c r="HC16" s="19">
        <f t="shared" si="15"/>
        <v>0</v>
      </c>
      <c r="HD16" s="33" t="str">
        <f>IF(Activities!Q16=HC16,"OK","Error")</f>
        <v>OK</v>
      </c>
      <c r="HE16" s="19">
        <f t="shared" si="16"/>
        <v>0</v>
      </c>
      <c r="HF16" s="33" t="str">
        <f>IF(Activities!R16=HE16,"OK","Error")</f>
        <v>OK</v>
      </c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</row>
    <row r="17" spans="1:239" s="76" customFormat="1" ht="22.05" hidden="1" customHeight="1" x14ac:dyDescent="0.35">
      <c r="A17" s="34">
        <v>15</v>
      </c>
      <c r="B17" s="133" t="str">
        <f>IF(Top_15="","",Top_15)</f>
        <v/>
      </c>
      <c r="C17" s="17" t="str">
        <f>IF(TopV_15="","",TopV_15)</f>
        <v/>
      </c>
      <c r="D17" s="34">
        <f>Topics!F17</f>
        <v>0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4">
        <f>Topics!G17</f>
        <v>0</v>
      </c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4">
        <f>Topics!H17</f>
        <v>0</v>
      </c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4">
        <f>Topics!I17</f>
        <v>0</v>
      </c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4">
        <f>Topics!J17</f>
        <v>0</v>
      </c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4">
        <f>Topics!K17</f>
        <v>0</v>
      </c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4">
        <f>Topics!L17</f>
        <v>0</v>
      </c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4">
        <f>Topics!M17</f>
        <v>0</v>
      </c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4">
        <f>Topics!N17</f>
        <v>0</v>
      </c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4">
        <f>Topics!O17</f>
        <v>0</v>
      </c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4">
        <f>Topics!P17</f>
        <v>0</v>
      </c>
      <c r="EC17" s="36"/>
      <c r="ED17" s="36"/>
      <c r="EE17" s="36"/>
      <c r="EF17" s="36"/>
      <c r="EG17" s="36"/>
      <c r="EH17" s="36"/>
      <c r="EI17" s="36"/>
      <c r="EJ17" s="36"/>
      <c r="EK17" s="36"/>
      <c r="EL17" s="34">
        <f>Topics!Q17</f>
        <v>0</v>
      </c>
      <c r="EM17" s="36"/>
      <c r="EN17" s="36"/>
      <c r="EO17" s="36"/>
      <c r="EP17" s="36"/>
      <c r="EQ17" s="36"/>
      <c r="ER17" s="36"/>
      <c r="ES17" s="36"/>
      <c r="ET17" s="36"/>
      <c r="EU17" s="36"/>
      <c r="EV17" s="34">
        <f>Topics!R17</f>
        <v>0</v>
      </c>
      <c r="EW17" s="36"/>
      <c r="EX17" s="36"/>
      <c r="EY17" s="36"/>
      <c r="EZ17" s="36"/>
      <c r="FA17" s="36"/>
      <c r="FB17" s="36"/>
      <c r="FC17" s="36"/>
      <c r="FD17" s="36"/>
      <c r="FE17" s="36"/>
      <c r="FF17" s="34">
        <f>Topics!S17</f>
        <v>0</v>
      </c>
      <c r="FG17" s="36"/>
      <c r="FH17" s="36"/>
      <c r="FI17" s="36"/>
      <c r="FJ17" s="36"/>
      <c r="FK17" s="36"/>
      <c r="FL17" s="36"/>
      <c r="FM17" s="36"/>
      <c r="FN17" s="36"/>
      <c r="FO17" s="36"/>
      <c r="FP17" s="34">
        <f>Topics!T17</f>
        <v>0</v>
      </c>
      <c r="FQ17" s="36"/>
      <c r="FR17" s="36"/>
      <c r="FS17" s="36"/>
      <c r="FT17" s="36"/>
      <c r="FU17" s="36"/>
      <c r="FV17" s="36"/>
      <c r="FW17" s="36"/>
      <c r="FX17" s="36"/>
      <c r="FY17" s="36"/>
      <c r="FZ17" s="33" t="str">
        <f t="shared" si="0"/>
        <v>Error</v>
      </c>
      <c r="GA17" s="225"/>
      <c r="GB17" s="34">
        <f t="shared" si="1"/>
        <v>15</v>
      </c>
      <c r="GC17" s="19">
        <f t="shared" si="2"/>
        <v>0</v>
      </c>
      <c r="GD17" s="33" t="str">
        <f>IF(Activities!D17=GC17,"OK","Error")</f>
        <v>OK</v>
      </c>
      <c r="GE17" s="19">
        <f t="shared" si="3"/>
        <v>0</v>
      </c>
      <c r="GF17" s="33" t="str">
        <f>IF(Activities!E17=GE17,"OK","Error")</f>
        <v>OK</v>
      </c>
      <c r="GG17" s="19">
        <f t="shared" si="4"/>
        <v>0</v>
      </c>
      <c r="GH17" s="33" t="str">
        <f>IF(Activities!F17=GG17,"OK","Error")</f>
        <v>OK</v>
      </c>
      <c r="GI17" s="19">
        <f t="shared" si="5"/>
        <v>0</v>
      </c>
      <c r="GJ17" s="33" t="str">
        <f>IF(Activities!G17=GI17,"OK","Error")</f>
        <v>OK</v>
      </c>
      <c r="GK17" s="19">
        <f t="shared" si="6"/>
        <v>0</v>
      </c>
      <c r="GL17" s="33" t="str">
        <f>IF(Activities!H17=GK17,"OK","Error")</f>
        <v>OK</v>
      </c>
      <c r="GM17" s="19">
        <f t="shared" si="7"/>
        <v>0</v>
      </c>
      <c r="GN17" s="33" t="str">
        <f>IF(Activities!I17=GM17,"OK","Error")</f>
        <v>OK</v>
      </c>
      <c r="GO17" s="19">
        <f t="shared" si="8"/>
        <v>0</v>
      </c>
      <c r="GP17" s="33" t="str">
        <f>IF(Activities!J17=GO17,"OK","Error")</f>
        <v>OK</v>
      </c>
      <c r="GQ17" s="19">
        <f t="shared" si="9"/>
        <v>0</v>
      </c>
      <c r="GR17" s="33" t="str">
        <f>IF(Activities!K17=GQ17,"OK","Error")</f>
        <v>OK</v>
      </c>
      <c r="GS17" s="19">
        <f t="shared" si="10"/>
        <v>0</v>
      </c>
      <c r="GT17" s="33" t="str">
        <f>IF(Activities!L17=GS17,"OK","Error")</f>
        <v>OK</v>
      </c>
      <c r="GU17" s="19">
        <f t="shared" si="11"/>
        <v>0</v>
      </c>
      <c r="GV17" s="33" t="str">
        <f>IF(Activities!M17=GU17,"OK","Error")</f>
        <v>OK</v>
      </c>
      <c r="GW17" s="19">
        <f t="shared" si="12"/>
        <v>0</v>
      </c>
      <c r="GX17" s="33" t="str">
        <f>IF(Activities!N17=GW17,"OK","Error")</f>
        <v>OK</v>
      </c>
      <c r="GY17" s="19">
        <f t="shared" si="13"/>
        <v>0</v>
      </c>
      <c r="GZ17" s="33" t="str">
        <f>IF(Activities!O17=GY17,"OK","Error")</f>
        <v>OK</v>
      </c>
      <c r="HA17" s="19">
        <f t="shared" si="14"/>
        <v>0</v>
      </c>
      <c r="HB17" s="33" t="str">
        <f>IF(Activities!P17=HA17,"OK","Error")</f>
        <v>OK</v>
      </c>
      <c r="HC17" s="19">
        <f t="shared" si="15"/>
        <v>0</v>
      </c>
      <c r="HD17" s="33" t="str">
        <f>IF(Activities!Q17=HC17,"OK","Error")</f>
        <v>OK</v>
      </c>
      <c r="HE17" s="19">
        <f t="shared" si="16"/>
        <v>0</v>
      </c>
      <c r="HF17" s="33" t="str">
        <f>IF(Activities!R17=HE17,"OK","Error")</f>
        <v>OK</v>
      </c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</row>
    <row r="18" spans="1:239" s="76" customFormat="1" ht="22.05" hidden="1" customHeight="1" x14ac:dyDescent="0.35">
      <c r="A18" s="34">
        <v>16</v>
      </c>
      <c r="B18" s="134" t="str">
        <f>IF(Top_16="","",Top_16)</f>
        <v/>
      </c>
      <c r="C18" s="20" t="str">
        <f>IF(TopV_16="","",TopV_16)</f>
        <v/>
      </c>
      <c r="D18" s="75">
        <f>Topics!F18</f>
        <v>0</v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75">
        <f>Topics!G18</f>
        <v>0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75">
        <f>Topics!H18</f>
        <v>0</v>
      </c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4">
        <f>Topics!I18</f>
        <v>0</v>
      </c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4">
        <f>Topics!J18</f>
        <v>0</v>
      </c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4">
        <f>Topics!K18</f>
        <v>0</v>
      </c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4">
        <f>Topics!L18</f>
        <v>0</v>
      </c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4">
        <f>Topics!M18</f>
        <v>0</v>
      </c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4">
        <f>Topics!N18</f>
        <v>0</v>
      </c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4">
        <f>Topics!O18</f>
        <v>0</v>
      </c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4">
        <f>Topics!P18</f>
        <v>0</v>
      </c>
      <c r="EC18" s="37"/>
      <c r="ED18" s="37"/>
      <c r="EE18" s="37"/>
      <c r="EF18" s="37"/>
      <c r="EG18" s="37"/>
      <c r="EH18" s="37"/>
      <c r="EI18" s="37"/>
      <c r="EJ18" s="37"/>
      <c r="EK18" s="37"/>
      <c r="EL18" s="34">
        <f>Topics!Q18</f>
        <v>0</v>
      </c>
      <c r="EM18" s="37"/>
      <c r="EN18" s="37"/>
      <c r="EO18" s="37"/>
      <c r="EP18" s="37"/>
      <c r="EQ18" s="37"/>
      <c r="ER18" s="37"/>
      <c r="ES18" s="37"/>
      <c r="ET18" s="37"/>
      <c r="EU18" s="37"/>
      <c r="EV18" s="34">
        <f>Topics!R18</f>
        <v>0</v>
      </c>
      <c r="EW18" s="37"/>
      <c r="EX18" s="37"/>
      <c r="EY18" s="37"/>
      <c r="EZ18" s="37"/>
      <c r="FA18" s="37"/>
      <c r="FB18" s="37"/>
      <c r="FC18" s="37"/>
      <c r="FD18" s="37"/>
      <c r="FE18" s="37"/>
      <c r="FF18" s="34">
        <f>Topics!S18</f>
        <v>0</v>
      </c>
      <c r="FG18" s="37"/>
      <c r="FH18" s="37"/>
      <c r="FI18" s="37"/>
      <c r="FJ18" s="37"/>
      <c r="FK18" s="37"/>
      <c r="FL18" s="37"/>
      <c r="FM18" s="37"/>
      <c r="FN18" s="37"/>
      <c r="FO18" s="37"/>
      <c r="FP18" s="34">
        <f>Topics!T18</f>
        <v>0</v>
      </c>
      <c r="FQ18" s="37"/>
      <c r="FR18" s="37"/>
      <c r="FS18" s="37"/>
      <c r="FT18" s="37"/>
      <c r="FU18" s="37"/>
      <c r="FV18" s="37"/>
      <c r="FW18" s="37"/>
      <c r="FX18" s="37"/>
      <c r="FY18" s="37"/>
      <c r="FZ18" s="33" t="str">
        <f t="shared" si="0"/>
        <v>Error</v>
      </c>
      <c r="GA18" s="225"/>
      <c r="GB18" s="34">
        <f t="shared" si="1"/>
        <v>16</v>
      </c>
      <c r="GC18" s="19">
        <f t="shared" si="2"/>
        <v>0</v>
      </c>
      <c r="GD18" s="33" t="str">
        <f>IF(Activities!D18=GC18,"OK","Error")</f>
        <v>OK</v>
      </c>
      <c r="GE18" s="19">
        <f t="shared" si="3"/>
        <v>0</v>
      </c>
      <c r="GF18" s="33" t="str">
        <f>IF(Activities!E18=GE18,"OK","Error")</f>
        <v>OK</v>
      </c>
      <c r="GG18" s="19">
        <f t="shared" si="4"/>
        <v>0</v>
      </c>
      <c r="GH18" s="33" t="str">
        <f>IF(Activities!F18=GG18,"OK","Error")</f>
        <v>OK</v>
      </c>
      <c r="GI18" s="19">
        <f t="shared" si="5"/>
        <v>0</v>
      </c>
      <c r="GJ18" s="33" t="str">
        <f>IF(Activities!G18=GI18,"OK","Error")</f>
        <v>OK</v>
      </c>
      <c r="GK18" s="19">
        <f t="shared" si="6"/>
        <v>0</v>
      </c>
      <c r="GL18" s="33" t="str">
        <f>IF(Activities!H18=GK18,"OK","Error")</f>
        <v>OK</v>
      </c>
      <c r="GM18" s="19">
        <f t="shared" si="7"/>
        <v>0</v>
      </c>
      <c r="GN18" s="33" t="str">
        <f>IF(Activities!I18=GM18,"OK","Error")</f>
        <v>OK</v>
      </c>
      <c r="GO18" s="19">
        <f t="shared" si="8"/>
        <v>0</v>
      </c>
      <c r="GP18" s="33" t="str">
        <f>IF(Activities!J18=GO18,"OK","Error")</f>
        <v>OK</v>
      </c>
      <c r="GQ18" s="19">
        <f t="shared" si="9"/>
        <v>0</v>
      </c>
      <c r="GR18" s="33" t="str">
        <f>IF(Activities!K18=GQ18,"OK","Error")</f>
        <v>OK</v>
      </c>
      <c r="GS18" s="19">
        <f t="shared" si="10"/>
        <v>0</v>
      </c>
      <c r="GT18" s="33" t="str">
        <f>IF(Activities!L18=GS18,"OK","Error")</f>
        <v>OK</v>
      </c>
      <c r="GU18" s="19">
        <f t="shared" si="11"/>
        <v>0</v>
      </c>
      <c r="GV18" s="33" t="str">
        <f>IF(Activities!M18=GU18,"OK","Error")</f>
        <v>OK</v>
      </c>
      <c r="GW18" s="19">
        <f t="shared" si="12"/>
        <v>0</v>
      </c>
      <c r="GX18" s="33" t="str">
        <f>IF(Activities!N18=GW18,"OK","Error")</f>
        <v>OK</v>
      </c>
      <c r="GY18" s="19">
        <f t="shared" si="13"/>
        <v>0</v>
      </c>
      <c r="GZ18" s="33" t="str">
        <f>IF(Activities!O18=GY18,"OK","Error")</f>
        <v>OK</v>
      </c>
      <c r="HA18" s="19">
        <f t="shared" si="14"/>
        <v>0</v>
      </c>
      <c r="HB18" s="33" t="str">
        <f>IF(Activities!P18=HA18,"OK","Error")</f>
        <v>OK</v>
      </c>
      <c r="HC18" s="19">
        <f t="shared" si="15"/>
        <v>0</v>
      </c>
      <c r="HD18" s="33" t="str">
        <f>IF(Activities!Q18=HC18,"OK","Error")</f>
        <v>OK</v>
      </c>
      <c r="HE18" s="19">
        <f t="shared" si="16"/>
        <v>0</v>
      </c>
      <c r="HF18" s="33" t="str">
        <f>IF(Activities!R18=HE18,"OK","Error")</f>
        <v>OK</v>
      </c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</row>
    <row r="19" spans="1:239" s="76" customFormat="1" ht="22.05" hidden="1" customHeight="1" x14ac:dyDescent="0.35">
      <c r="A19" s="34">
        <v>17</v>
      </c>
      <c r="B19" s="133" t="str">
        <f>IF(Top_17="","",Top_17)</f>
        <v/>
      </c>
      <c r="C19" s="17" t="str">
        <f>IF(TopV_17="","",TopV_17)</f>
        <v/>
      </c>
      <c r="D19" s="34">
        <f>Topics!F19</f>
        <v>0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4">
        <f>Topics!G19</f>
        <v>0</v>
      </c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4">
        <f>Topics!H19</f>
        <v>0</v>
      </c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4">
        <f>Topics!I19</f>
        <v>0</v>
      </c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4">
        <f>Topics!J19</f>
        <v>0</v>
      </c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4">
        <f>Topics!K19</f>
        <v>0</v>
      </c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4">
        <f>Topics!L19</f>
        <v>0</v>
      </c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4">
        <f>Topics!M19</f>
        <v>0</v>
      </c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4">
        <f>Topics!N19</f>
        <v>0</v>
      </c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4">
        <f>Topics!O19</f>
        <v>0</v>
      </c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4">
        <f>Topics!P19</f>
        <v>0</v>
      </c>
      <c r="EC19" s="36"/>
      <c r="ED19" s="36"/>
      <c r="EE19" s="36"/>
      <c r="EF19" s="36"/>
      <c r="EG19" s="36"/>
      <c r="EH19" s="36"/>
      <c r="EI19" s="36"/>
      <c r="EJ19" s="36"/>
      <c r="EK19" s="36"/>
      <c r="EL19" s="34">
        <f>Topics!Q19</f>
        <v>0</v>
      </c>
      <c r="EM19" s="36"/>
      <c r="EN19" s="36"/>
      <c r="EO19" s="36"/>
      <c r="EP19" s="36"/>
      <c r="EQ19" s="36"/>
      <c r="ER19" s="36"/>
      <c r="ES19" s="36"/>
      <c r="ET19" s="36"/>
      <c r="EU19" s="36"/>
      <c r="EV19" s="34">
        <f>Topics!R19</f>
        <v>0</v>
      </c>
      <c r="EW19" s="36"/>
      <c r="EX19" s="36"/>
      <c r="EY19" s="36"/>
      <c r="EZ19" s="36"/>
      <c r="FA19" s="36"/>
      <c r="FB19" s="36"/>
      <c r="FC19" s="36"/>
      <c r="FD19" s="36"/>
      <c r="FE19" s="36"/>
      <c r="FF19" s="34">
        <f>Topics!S19</f>
        <v>0</v>
      </c>
      <c r="FG19" s="36"/>
      <c r="FH19" s="36"/>
      <c r="FI19" s="36"/>
      <c r="FJ19" s="36"/>
      <c r="FK19" s="36"/>
      <c r="FL19" s="36"/>
      <c r="FM19" s="36"/>
      <c r="FN19" s="36"/>
      <c r="FO19" s="36"/>
      <c r="FP19" s="34">
        <f>Topics!T19</f>
        <v>0</v>
      </c>
      <c r="FQ19" s="36"/>
      <c r="FR19" s="36"/>
      <c r="FS19" s="36"/>
      <c r="FT19" s="36"/>
      <c r="FU19" s="36"/>
      <c r="FV19" s="36"/>
      <c r="FW19" s="36"/>
      <c r="FX19" s="36"/>
      <c r="FY19" s="36"/>
      <c r="FZ19" s="33" t="str">
        <f t="shared" si="0"/>
        <v>Error</v>
      </c>
      <c r="GA19" s="225"/>
      <c r="GB19" s="34">
        <f t="shared" si="1"/>
        <v>17</v>
      </c>
      <c r="GC19" s="19">
        <f t="shared" si="2"/>
        <v>0</v>
      </c>
      <c r="GD19" s="33" t="str">
        <f>IF(Activities!D19=GC19,"OK","Error")</f>
        <v>OK</v>
      </c>
      <c r="GE19" s="19">
        <f t="shared" si="3"/>
        <v>0</v>
      </c>
      <c r="GF19" s="33" t="str">
        <f>IF(Activities!E19=GE19,"OK","Error")</f>
        <v>OK</v>
      </c>
      <c r="GG19" s="19">
        <f t="shared" si="4"/>
        <v>0</v>
      </c>
      <c r="GH19" s="33" t="str">
        <f>IF(Activities!F19=GG19,"OK","Error")</f>
        <v>OK</v>
      </c>
      <c r="GI19" s="19">
        <f t="shared" si="5"/>
        <v>0</v>
      </c>
      <c r="GJ19" s="33" t="str">
        <f>IF(Activities!G19=GI19,"OK","Error")</f>
        <v>OK</v>
      </c>
      <c r="GK19" s="19">
        <f t="shared" si="6"/>
        <v>0</v>
      </c>
      <c r="GL19" s="33" t="str">
        <f>IF(Activities!H19=GK19,"OK","Error")</f>
        <v>OK</v>
      </c>
      <c r="GM19" s="19">
        <f t="shared" si="7"/>
        <v>0</v>
      </c>
      <c r="GN19" s="33" t="str">
        <f>IF(Activities!I19=GM19,"OK","Error")</f>
        <v>OK</v>
      </c>
      <c r="GO19" s="19">
        <f t="shared" si="8"/>
        <v>0</v>
      </c>
      <c r="GP19" s="33" t="str">
        <f>IF(Activities!J19=GO19,"OK","Error")</f>
        <v>OK</v>
      </c>
      <c r="GQ19" s="19">
        <f t="shared" si="9"/>
        <v>0</v>
      </c>
      <c r="GR19" s="33" t="str">
        <f>IF(Activities!K19=GQ19,"OK","Error")</f>
        <v>OK</v>
      </c>
      <c r="GS19" s="19">
        <f t="shared" si="10"/>
        <v>0</v>
      </c>
      <c r="GT19" s="33" t="str">
        <f>IF(Activities!L19=GS19,"OK","Error")</f>
        <v>OK</v>
      </c>
      <c r="GU19" s="19">
        <f t="shared" si="11"/>
        <v>0</v>
      </c>
      <c r="GV19" s="33" t="str">
        <f>IF(Activities!M19=GU19,"OK","Error")</f>
        <v>OK</v>
      </c>
      <c r="GW19" s="19">
        <f t="shared" si="12"/>
        <v>0</v>
      </c>
      <c r="GX19" s="33" t="str">
        <f>IF(Activities!N19=GW19,"OK","Error")</f>
        <v>OK</v>
      </c>
      <c r="GY19" s="19">
        <f t="shared" si="13"/>
        <v>0</v>
      </c>
      <c r="GZ19" s="33" t="str">
        <f>IF(Activities!O19=GY19,"OK","Error")</f>
        <v>OK</v>
      </c>
      <c r="HA19" s="19">
        <f t="shared" si="14"/>
        <v>0</v>
      </c>
      <c r="HB19" s="33" t="str">
        <f>IF(Activities!P19=HA19,"OK","Error")</f>
        <v>OK</v>
      </c>
      <c r="HC19" s="19">
        <f t="shared" si="15"/>
        <v>0</v>
      </c>
      <c r="HD19" s="33" t="str">
        <f>IF(Activities!Q19=HC19,"OK","Error")</f>
        <v>OK</v>
      </c>
      <c r="HE19" s="19">
        <f t="shared" si="16"/>
        <v>0</v>
      </c>
      <c r="HF19" s="33" t="str">
        <f>IF(Activities!R19=HE19,"OK","Error")</f>
        <v>OK</v>
      </c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</row>
    <row r="20" spans="1:239" s="76" customFormat="1" ht="22.05" hidden="1" customHeight="1" x14ac:dyDescent="0.35">
      <c r="A20" s="34">
        <v>18</v>
      </c>
      <c r="B20" s="134" t="str">
        <f>IF(Top_18="","",Top_18)</f>
        <v/>
      </c>
      <c r="C20" s="20" t="str">
        <f>IF(TopV_18="","",TopV_18)</f>
        <v/>
      </c>
      <c r="D20" s="34">
        <f>Topics!F20</f>
        <v>0</v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4">
        <f>Topics!G20</f>
        <v>0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4">
        <f>Topics!H20</f>
        <v>0</v>
      </c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4">
        <f>Topics!I20</f>
        <v>0</v>
      </c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4">
        <f>Topics!J20</f>
        <v>0</v>
      </c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4">
        <f>Topics!K20</f>
        <v>0</v>
      </c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4">
        <f>Topics!L20</f>
        <v>0</v>
      </c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4">
        <f>Topics!M20</f>
        <v>0</v>
      </c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4">
        <f>Topics!N20</f>
        <v>0</v>
      </c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4">
        <f>Topics!O20</f>
        <v>0</v>
      </c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4">
        <f>Topics!P20</f>
        <v>0</v>
      </c>
      <c r="EC20" s="37"/>
      <c r="ED20" s="37"/>
      <c r="EE20" s="37"/>
      <c r="EF20" s="37"/>
      <c r="EG20" s="37"/>
      <c r="EH20" s="37"/>
      <c r="EI20" s="37"/>
      <c r="EJ20" s="37"/>
      <c r="EK20" s="37"/>
      <c r="EL20" s="34">
        <f>Topics!Q20</f>
        <v>0</v>
      </c>
      <c r="EM20" s="37"/>
      <c r="EN20" s="37"/>
      <c r="EO20" s="37"/>
      <c r="EP20" s="37"/>
      <c r="EQ20" s="37"/>
      <c r="ER20" s="37"/>
      <c r="ES20" s="37"/>
      <c r="ET20" s="37"/>
      <c r="EU20" s="37"/>
      <c r="EV20" s="34">
        <f>Topics!R20</f>
        <v>0</v>
      </c>
      <c r="EW20" s="37"/>
      <c r="EX20" s="37"/>
      <c r="EY20" s="37"/>
      <c r="EZ20" s="37"/>
      <c r="FA20" s="37"/>
      <c r="FB20" s="37"/>
      <c r="FC20" s="37"/>
      <c r="FD20" s="37"/>
      <c r="FE20" s="37"/>
      <c r="FF20" s="34">
        <f>Topics!S20</f>
        <v>0</v>
      </c>
      <c r="FG20" s="37"/>
      <c r="FH20" s="37"/>
      <c r="FI20" s="37"/>
      <c r="FJ20" s="37"/>
      <c r="FK20" s="37"/>
      <c r="FL20" s="37"/>
      <c r="FM20" s="37"/>
      <c r="FN20" s="37"/>
      <c r="FO20" s="37"/>
      <c r="FP20" s="34">
        <f>Topics!T20</f>
        <v>0</v>
      </c>
      <c r="FQ20" s="37"/>
      <c r="FR20" s="37"/>
      <c r="FS20" s="37"/>
      <c r="FT20" s="37"/>
      <c r="FU20" s="37"/>
      <c r="FV20" s="37"/>
      <c r="FW20" s="37"/>
      <c r="FX20" s="37"/>
      <c r="FY20" s="37"/>
      <c r="FZ20" s="33" t="str">
        <f t="shared" si="0"/>
        <v>Error</v>
      </c>
      <c r="GA20" s="225"/>
      <c r="GB20" s="34">
        <f t="shared" si="1"/>
        <v>18</v>
      </c>
      <c r="GC20" s="19">
        <f t="shared" si="2"/>
        <v>0</v>
      </c>
      <c r="GD20" s="33" t="str">
        <f>IF(Activities!D20=GC20,"OK","Error")</f>
        <v>OK</v>
      </c>
      <c r="GE20" s="19">
        <f t="shared" si="3"/>
        <v>0</v>
      </c>
      <c r="GF20" s="33" t="str">
        <f>IF(Activities!E20=GE20,"OK","Error")</f>
        <v>OK</v>
      </c>
      <c r="GG20" s="19">
        <f t="shared" si="4"/>
        <v>0</v>
      </c>
      <c r="GH20" s="33" t="str">
        <f>IF(Activities!F20=GG20,"OK","Error")</f>
        <v>OK</v>
      </c>
      <c r="GI20" s="19">
        <f t="shared" si="5"/>
        <v>0</v>
      </c>
      <c r="GJ20" s="33" t="str">
        <f>IF(Activities!G20=GI20,"OK","Error")</f>
        <v>OK</v>
      </c>
      <c r="GK20" s="19">
        <f t="shared" si="6"/>
        <v>0</v>
      </c>
      <c r="GL20" s="33" t="str">
        <f>IF(Activities!H20=GK20,"OK","Error")</f>
        <v>OK</v>
      </c>
      <c r="GM20" s="19">
        <f t="shared" si="7"/>
        <v>0</v>
      </c>
      <c r="GN20" s="33" t="str">
        <f>IF(Activities!I20=GM20,"OK","Error")</f>
        <v>OK</v>
      </c>
      <c r="GO20" s="19">
        <f t="shared" si="8"/>
        <v>0</v>
      </c>
      <c r="GP20" s="33" t="str">
        <f>IF(Activities!J20=GO20,"OK","Error")</f>
        <v>OK</v>
      </c>
      <c r="GQ20" s="19">
        <f t="shared" si="9"/>
        <v>0</v>
      </c>
      <c r="GR20" s="33" t="str">
        <f>IF(Activities!K20=GQ20,"OK","Error")</f>
        <v>OK</v>
      </c>
      <c r="GS20" s="19">
        <f t="shared" si="10"/>
        <v>0</v>
      </c>
      <c r="GT20" s="33" t="str">
        <f>IF(Activities!L20=GS20,"OK","Error")</f>
        <v>OK</v>
      </c>
      <c r="GU20" s="19">
        <f t="shared" si="11"/>
        <v>0</v>
      </c>
      <c r="GV20" s="33" t="str">
        <f>IF(Activities!M20=GU20,"OK","Error")</f>
        <v>OK</v>
      </c>
      <c r="GW20" s="19">
        <f t="shared" si="12"/>
        <v>0</v>
      </c>
      <c r="GX20" s="33" t="str">
        <f>IF(Activities!N20=GW20,"OK","Error")</f>
        <v>OK</v>
      </c>
      <c r="GY20" s="19">
        <f t="shared" si="13"/>
        <v>0</v>
      </c>
      <c r="GZ20" s="33" t="str">
        <f>IF(Activities!O20=GY20,"OK","Error")</f>
        <v>OK</v>
      </c>
      <c r="HA20" s="19">
        <f t="shared" si="14"/>
        <v>0</v>
      </c>
      <c r="HB20" s="33" t="str">
        <f>IF(Activities!P20=HA20,"OK","Error")</f>
        <v>OK</v>
      </c>
      <c r="HC20" s="19">
        <f t="shared" si="15"/>
        <v>0</v>
      </c>
      <c r="HD20" s="33" t="str">
        <f>IF(Activities!Q20=HC20,"OK","Error")</f>
        <v>OK</v>
      </c>
      <c r="HE20" s="19">
        <f t="shared" si="16"/>
        <v>0</v>
      </c>
      <c r="HF20" s="33" t="str">
        <f>IF(Activities!R20=HE20,"OK","Error")</f>
        <v>OK</v>
      </c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</row>
    <row r="21" spans="1:239" s="76" customFormat="1" ht="22.05" hidden="1" customHeight="1" x14ac:dyDescent="0.35">
      <c r="A21" s="34">
        <v>19</v>
      </c>
      <c r="B21" s="133" t="str">
        <f>IF(Top_19="","",Top_19)</f>
        <v/>
      </c>
      <c r="C21" s="17" t="str">
        <f>IF(TopV_19="","",TopV_19)</f>
        <v/>
      </c>
      <c r="D21" s="34">
        <f>Topics!F21</f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4">
        <f>Topics!G21</f>
        <v>0</v>
      </c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4">
        <f>Topics!H21</f>
        <v>0</v>
      </c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4">
        <f>Topics!I21</f>
        <v>0</v>
      </c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4">
        <f>Topics!J21</f>
        <v>0</v>
      </c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4">
        <f>Topics!K21</f>
        <v>0</v>
      </c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4">
        <f>Topics!L21</f>
        <v>0</v>
      </c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4">
        <f>Topics!M21</f>
        <v>0</v>
      </c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4">
        <f>Topics!N21</f>
        <v>0</v>
      </c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4">
        <f>Topics!O21</f>
        <v>0</v>
      </c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4">
        <f>Topics!P21</f>
        <v>0</v>
      </c>
      <c r="EC21" s="36"/>
      <c r="ED21" s="36"/>
      <c r="EE21" s="36"/>
      <c r="EF21" s="36"/>
      <c r="EG21" s="36"/>
      <c r="EH21" s="36"/>
      <c r="EI21" s="36"/>
      <c r="EJ21" s="36"/>
      <c r="EK21" s="36"/>
      <c r="EL21" s="34">
        <f>Topics!Q21</f>
        <v>0</v>
      </c>
      <c r="EM21" s="36"/>
      <c r="EN21" s="36"/>
      <c r="EO21" s="36"/>
      <c r="EP21" s="36"/>
      <c r="EQ21" s="36"/>
      <c r="ER21" s="36"/>
      <c r="ES21" s="36"/>
      <c r="ET21" s="36"/>
      <c r="EU21" s="36"/>
      <c r="EV21" s="34">
        <f>Topics!R21</f>
        <v>0</v>
      </c>
      <c r="EW21" s="36"/>
      <c r="EX21" s="36"/>
      <c r="EY21" s="36"/>
      <c r="EZ21" s="36"/>
      <c r="FA21" s="36"/>
      <c r="FB21" s="36"/>
      <c r="FC21" s="36"/>
      <c r="FD21" s="36"/>
      <c r="FE21" s="36"/>
      <c r="FF21" s="34">
        <f>Topics!S21</f>
        <v>0</v>
      </c>
      <c r="FG21" s="36"/>
      <c r="FH21" s="36"/>
      <c r="FI21" s="36"/>
      <c r="FJ21" s="36"/>
      <c r="FK21" s="36"/>
      <c r="FL21" s="36"/>
      <c r="FM21" s="36"/>
      <c r="FN21" s="36"/>
      <c r="FO21" s="36"/>
      <c r="FP21" s="34">
        <f>Topics!T21</f>
        <v>0</v>
      </c>
      <c r="FQ21" s="36"/>
      <c r="FR21" s="36"/>
      <c r="FS21" s="36"/>
      <c r="FT21" s="36"/>
      <c r="FU21" s="36"/>
      <c r="FV21" s="36"/>
      <c r="FW21" s="36"/>
      <c r="FX21" s="36"/>
      <c r="FY21" s="36"/>
      <c r="FZ21" s="33" t="str">
        <f t="shared" si="0"/>
        <v>Error</v>
      </c>
      <c r="GA21" s="225"/>
      <c r="GB21" s="34">
        <f t="shared" si="1"/>
        <v>19</v>
      </c>
      <c r="GC21" s="19">
        <f t="shared" si="2"/>
        <v>0</v>
      </c>
      <c r="GD21" s="33" t="str">
        <f>IF(Activities!D21=GC21,"OK","Error")</f>
        <v>OK</v>
      </c>
      <c r="GE21" s="19">
        <f t="shared" si="3"/>
        <v>0</v>
      </c>
      <c r="GF21" s="33" t="str">
        <f>IF(Activities!E21=GE21,"OK","Error")</f>
        <v>OK</v>
      </c>
      <c r="GG21" s="19">
        <f t="shared" si="4"/>
        <v>0</v>
      </c>
      <c r="GH21" s="33" t="str">
        <f>IF(Activities!F21=GG21,"OK","Error")</f>
        <v>OK</v>
      </c>
      <c r="GI21" s="19">
        <f t="shared" si="5"/>
        <v>0</v>
      </c>
      <c r="GJ21" s="33" t="str">
        <f>IF(Activities!G21=GI21,"OK","Error")</f>
        <v>OK</v>
      </c>
      <c r="GK21" s="19">
        <f t="shared" si="6"/>
        <v>0</v>
      </c>
      <c r="GL21" s="33" t="str">
        <f>IF(Activities!H21=GK21,"OK","Error")</f>
        <v>OK</v>
      </c>
      <c r="GM21" s="19">
        <f t="shared" si="7"/>
        <v>0</v>
      </c>
      <c r="GN21" s="33" t="str">
        <f>IF(Activities!I21=GM21,"OK","Error")</f>
        <v>OK</v>
      </c>
      <c r="GO21" s="19">
        <f t="shared" si="8"/>
        <v>0</v>
      </c>
      <c r="GP21" s="33" t="str">
        <f>IF(Activities!J21=GO21,"OK","Error")</f>
        <v>OK</v>
      </c>
      <c r="GQ21" s="19">
        <f t="shared" si="9"/>
        <v>0</v>
      </c>
      <c r="GR21" s="33" t="str">
        <f>IF(Activities!K21=GQ21,"OK","Error")</f>
        <v>OK</v>
      </c>
      <c r="GS21" s="19">
        <f t="shared" si="10"/>
        <v>0</v>
      </c>
      <c r="GT21" s="33" t="str">
        <f>IF(Activities!L21=GS21,"OK","Error")</f>
        <v>OK</v>
      </c>
      <c r="GU21" s="19">
        <f t="shared" si="11"/>
        <v>0</v>
      </c>
      <c r="GV21" s="33" t="str">
        <f>IF(Activities!M21=GU21,"OK","Error")</f>
        <v>OK</v>
      </c>
      <c r="GW21" s="19">
        <f t="shared" si="12"/>
        <v>0</v>
      </c>
      <c r="GX21" s="33" t="str">
        <f>IF(Activities!N21=GW21,"OK","Error")</f>
        <v>OK</v>
      </c>
      <c r="GY21" s="19">
        <f t="shared" si="13"/>
        <v>0</v>
      </c>
      <c r="GZ21" s="33" t="str">
        <f>IF(Activities!O21=GY21,"OK","Error")</f>
        <v>OK</v>
      </c>
      <c r="HA21" s="19">
        <f t="shared" si="14"/>
        <v>0</v>
      </c>
      <c r="HB21" s="33" t="str">
        <f>IF(Activities!P21=HA21,"OK","Error")</f>
        <v>OK</v>
      </c>
      <c r="HC21" s="19">
        <f t="shared" si="15"/>
        <v>0</v>
      </c>
      <c r="HD21" s="33" t="str">
        <f>IF(Activities!Q21=HC21,"OK","Error")</f>
        <v>OK</v>
      </c>
      <c r="HE21" s="19">
        <f t="shared" si="16"/>
        <v>0</v>
      </c>
      <c r="HF21" s="33" t="str">
        <f>IF(Activities!R21=HE21,"OK","Error")</f>
        <v>OK</v>
      </c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</row>
    <row r="22" spans="1:239" s="76" customFormat="1" ht="22.05" hidden="1" customHeight="1" x14ac:dyDescent="0.35">
      <c r="A22" s="34">
        <v>20</v>
      </c>
      <c r="B22" s="134" t="str">
        <f>IF(Top_20="","",Top_20)</f>
        <v/>
      </c>
      <c r="C22" s="20" t="str">
        <f>IF(TopV_20="","",TopV_20)</f>
        <v/>
      </c>
      <c r="D22" s="75">
        <f>Topics!F22</f>
        <v>0</v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75">
        <f>Topics!G22</f>
        <v>0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75">
        <f>Topics!H22</f>
        <v>0</v>
      </c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4">
        <f>Topics!I22</f>
        <v>0</v>
      </c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4">
        <f>Topics!J22</f>
        <v>0</v>
      </c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4">
        <f>Topics!K22</f>
        <v>0</v>
      </c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4">
        <f>Topics!L22</f>
        <v>0</v>
      </c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4">
        <f>Topics!M22</f>
        <v>0</v>
      </c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4">
        <f>Topics!N22</f>
        <v>0</v>
      </c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4">
        <f>Topics!O22</f>
        <v>0</v>
      </c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4">
        <f>Topics!P22</f>
        <v>0</v>
      </c>
      <c r="EC22" s="37"/>
      <c r="ED22" s="37"/>
      <c r="EE22" s="37"/>
      <c r="EF22" s="37"/>
      <c r="EG22" s="37"/>
      <c r="EH22" s="37"/>
      <c r="EI22" s="37"/>
      <c r="EJ22" s="37"/>
      <c r="EK22" s="37"/>
      <c r="EL22" s="34">
        <f>Topics!Q22</f>
        <v>0</v>
      </c>
      <c r="EM22" s="37"/>
      <c r="EN22" s="37"/>
      <c r="EO22" s="37"/>
      <c r="EP22" s="37"/>
      <c r="EQ22" s="37"/>
      <c r="ER22" s="37"/>
      <c r="ES22" s="37"/>
      <c r="ET22" s="37"/>
      <c r="EU22" s="37"/>
      <c r="EV22" s="34">
        <f>Topics!R22</f>
        <v>0</v>
      </c>
      <c r="EW22" s="37"/>
      <c r="EX22" s="37"/>
      <c r="EY22" s="37"/>
      <c r="EZ22" s="37"/>
      <c r="FA22" s="37"/>
      <c r="FB22" s="37"/>
      <c r="FC22" s="37"/>
      <c r="FD22" s="37"/>
      <c r="FE22" s="37"/>
      <c r="FF22" s="34">
        <f>Topics!S22</f>
        <v>0</v>
      </c>
      <c r="FG22" s="37"/>
      <c r="FH22" s="37"/>
      <c r="FI22" s="37"/>
      <c r="FJ22" s="37"/>
      <c r="FK22" s="37"/>
      <c r="FL22" s="37"/>
      <c r="FM22" s="37"/>
      <c r="FN22" s="37"/>
      <c r="FO22" s="37"/>
      <c r="FP22" s="34">
        <f>Topics!T22</f>
        <v>0</v>
      </c>
      <c r="FQ22" s="37"/>
      <c r="FR22" s="37"/>
      <c r="FS22" s="37"/>
      <c r="FT22" s="37"/>
      <c r="FU22" s="37"/>
      <c r="FV22" s="37"/>
      <c r="FW22" s="37"/>
      <c r="FX22" s="37"/>
      <c r="FY22" s="37"/>
      <c r="FZ22" s="33" t="str">
        <f t="shared" si="0"/>
        <v>Error</v>
      </c>
      <c r="GA22" s="225"/>
      <c r="GB22" s="34">
        <f t="shared" si="1"/>
        <v>20</v>
      </c>
      <c r="GC22" s="19">
        <f t="shared" si="2"/>
        <v>0</v>
      </c>
      <c r="GD22" s="33" t="str">
        <f>IF(Activities!D22=GC22,"OK","Error")</f>
        <v>OK</v>
      </c>
      <c r="GE22" s="19">
        <f t="shared" si="3"/>
        <v>0</v>
      </c>
      <c r="GF22" s="33" t="str">
        <f>IF(Activities!E22=GE22,"OK","Error")</f>
        <v>OK</v>
      </c>
      <c r="GG22" s="19">
        <f t="shared" si="4"/>
        <v>0</v>
      </c>
      <c r="GH22" s="33" t="str">
        <f>IF(Activities!F22=GG22,"OK","Error")</f>
        <v>OK</v>
      </c>
      <c r="GI22" s="19">
        <f t="shared" si="5"/>
        <v>0</v>
      </c>
      <c r="GJ22" s="33" t="str">
        <f>IF(Activities!G22=GI22,"OK","Error")</f>
        <v>OK</v>
      </c>
      <c r="GK22" s="19">
        <f t="shared" si="6"/>
        <v>0</v>
      </c>
      <c r="GL22" s="33" t="str">
        <f>IF(Activities!H22=GK22,"OK","Error")</f>
        <v>OK</v>
      </c>
      <c r="GM22" s="19">
        <f t="shared" si="7"/>
        <v>0</v>
      </c>
      <c r="GN22" s="33" t="str">
        <f>IF(Activities!I22=GM22,"OK","Error")</f>
        <v>OK</v>
      </c>
      <c r="GO22" s="19">
        <f t="shared" si="8"/>
        <v>0</v>
      </c>
      <c r="GP22" s="33" t="str">
        <f>IF(Activities!J22=GO22,"OK","Error")</f>
        <v>OK</v>
      </c>
      <c r="GQ22" s="19">
        <f t="shared" si="9"/>
        <v>0</v>
      </c>
      <c r="GR22" s="33" t="str">
        <f>IF(Activities!K22=GQ22,"OK","Error")</f>
        <v>OK</v>
      </c>
      <c r="GS22" s="19">
        <f t="shared" si="10"/>
        <v>0</v>
      </c>
      <c r="GT22" s="33" t="str">
        <f>IF(Activities!L22=GS22,"OK","Error")</f>
        <v>OK</v>
      </c>
      <c r="GU22" s="19">
        <f t="shared" si="11"/>
        <v>0</v>
      </c>
      <c r="GV22" s="33" t="str">
        <f>IF(Activities!M22=GU22,"OK","Error")</f>
        <v>OK</v>
      </c>
      <c r="GW22" s="19">
        <f t="shared" si="12"/>
        <v>0</v>
      </c>
      <c r="GX22" s="33" t="str">
        <f>IF(Activities!N22=GW22,"OK","Error")</f>
        <v>OK</v>
      </c>
      <c r="GY22" s="19">
        <f t="shared" si="13"/>
        <v>0</v>
      </c>
      <c r="GZ22" s="33" t="str">
        <f>IF(Activities!O22=GY22,"OK","Error")</f>
        <v>OK</v>
      </c>
      <c r="HA22" s="19">
        <f t="shared" si="14"/>
        <v>0</v>
      </c>
      <c r="HB22" s="33" t="str">
        <f>IF(Activities!P22=HA22,"OK","Error")</f>
        <v>OK</v>
      </c>
      <c r="HC22" s="19">
        <f t="shared" si="15"/>
        <v>0</v>
      </c>
      <c r="HD22" s="33" t="str">
        <f>IF(Activities!Q22=HC22,"OK","Error")</f>
        <v>OK</v>
      </c>
      <c r="HE22" s="19">
        <f t="shared" si="16"/>
        <v>0</v>
      </c>
      <c r="HF22" s="33" t="str">
        <f>IF(Activities!R22=HE22,"OK","Error")</f>
        <v>OK</v>
      </c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</row>
    <row r="23" spans="1:239" s="76" customFormat="1" ht="22.05" hidden="1" customHeight="1" x14ac:dyDescent="0.35">
      <c r="A23" s="34">
        <v>21</v>
      </c>
      <c r="B23" s="133" t="str">
        <f>IF(Top_21="","",Top_21)</f>
        <v/>
      </c>
      <c r="C23" s="17" t="str">
        <f>IF(TopV_21="","",TopV_21)</f>
        <v/>
      </c>
      <c r="D23" s="34">
        <f>Topics!F23</f>
        <v>0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4">
        <f>Topics!G23</f>
        <v>0</v>
      </c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4">
        <f>Topics!H23</f>
        <v>0</v>
      </c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4">
        <f>Topics!I23</f>
        <v>0</v>
      </c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4">
        <f>Topics!J23</f>
        <v>0</v>
      </c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4">
        <f>Topics!K23</f>
        <v>0</v>
      </c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4">
        <f>Topics!L23</f>
        <v>0</v>
      </c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4">
        <f>Topics!M23</f>
        <v>0</v>
      </c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4">
        <f>Topics!N23</f>
        <v>0</v>
      </c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4">
        <f>Topics!O23</f>
        <v>0</v>
      </c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4">
        <f>Topics!P23</f>
        <v>0</v>
      </c>
      <c r="EC23" s="36"/>
      <c r="ED23" s="36"/>
      <c r="EE23" s="36"/>
      <c r="EF23" s="36"/>
      <c r="EG23" s="36"/>
      <c r="EH23" s="36"/>
      <c r="EI23" s="36"/>
      <c r="EJ23" s="36"/>
      <c r="EK23" s="36"/>
      <c r="EL23" s="34">
        <f>Topics!Q23</f>
        <v>0</v>
      </c>
      <c r="EM23" s="36"/>
      <c r="EN23" s="36"/>
      <c r="EO23" s="36"/>
      <c r="EP23" s="36"/>
      <c r="EQ23" s="36"/>
      <c r="ER23" s="36"/>
      <c r="ES23" s="36"/>
      <c r="ET23" s="36"/>
      <c r="EU23" s="36"/>
      <c r="EV23" s="34">
        <f>Topics!R23</f>
        <v>0</v>
      </c>
      <c r="EW23" s="36"/>
      <c r="EX23" s="36"/>
      <c r="EY23" s="36"/>
      <c r="EZ23" s="36"/>
      <c r="FA23" s="36"/>
      <c r="FB23" s="36"/>
      <c r="FC23" s="36"/>
      <c r="FD23" s="36"/>
      <c r="FE23" s="36"/>
      <c r="FF23" s="34">
        <f>Topics!S23</f>
        <v>0</v>
      </c>
      <c r="FG23" s="36"/>
      <c r="FH23" s="36"/>
      <c r="FI23" s="36"/>
      <c r="FJ23" s="36"/>
      <c r="FK23" s="36"/>
      <c r="FL23" s="36"/>
      <c r="FM23" s="36"/>
      <c r="FN23" s="36"/>
      <c r="FO23" s="36"/>
      <c r="FP23" s="34">
        <f>Topics!T23</f>
        <v>0</v>
      </c>
      <c r="FQ23" s="36"/>
      <c r="FR23" s="36"/>
      <c r="FS23" s="36"/>
      <c r="FT23" s="36"/>
      <c r="FU23" s="36"/>
      <c r="FV23" s="36"/>
      <c r="FW23" s="36"/>
      <c r="FX23" s="36"/>
      <c r="FY23" s="36"/>
      <c r="FZ23" s="33" t="str">
        <f t="shared" si="0"/>
        <v>Error</v>
      </c>
      <c r="GA23" s="225"/>
      <c r="GB23" s="34">
        <f t="shared" si="1"/>
        <v>21</v>
      </c>
      <c r="GC23" s="19">
        <f t="shared" si="2"/>
        <v>0</v>
      </c>
      <c r="GD23" s="33" t="str">
        <f>IF(Activities!D23=GC23,"OK","Error")</f>
        <v>OK</v>
      </c>
      <c r="GE23" s="19">
        <f t="shared" si="3"/>
        <v>0</v>
      </c>
      <c r="GF23" s="33" t="str">
        <f>IF(Activities!E23=GE23,"OK","Error")</f>
        <v>OK</v>
      </c>
      <c r="GG23" s="19">
        <f t="shared" si="4"/>
        <v>0</v>
      </c>
      <c r="GH23" s="33" t="str">
        <f>IF(Activities!F23=GG23,"OK","Error")</f>
        <v>OK</v>
      </c>
      <c r="GI23" s="19">
        <f t="shared" si="5"/>
        <v>0</v>
      </c>
      <c r="GJ23" s="33" t="str">
        <f>IF(Activities!G23=GI23,"OK","Error")</f>
        <v>OK</v>
      </c>
      <c r="GK23" s="19">
        <f t="shared" si="6"/>
        <v>0</v>
      </c>
      <c r="GL23" s="33" t="str">
        <f>IF(Activities!H23=GK23,"OK","Error")</f>
        <v>OK</v>
      </c>
      <c r="GM23" s="19">
        <f t="shared" si="7"/>
        <v>0</v>
      </c>
      <c r="GN23" s="33" t="str">
        <f>IF(Activities!I23=GM23,"OK","Error")</f>
        <v>OK</v>
      </c>
      <c r="GO23" s="19">
        <f t="shared" si="8"/>
        <v>0</v>
      </c>
      <c r="GP23" s="33" t="str">
        <f>IF(Activities!J23=GO23,"OK","Error")</f>
        <v>OK</v>
      </c>
      <c r="GQ23" s="19">
        <f t="shared" si="9"/>
        <v>0</v>
      </c>
      <c r="GR23" s="33" t="str">
        <f>IF(Activities!K23=GQ23,"OK","Error")</f>
        <v>OK</v>
      </c>
      <c r="GS23" s="19">
        <f t="shared" si="10"/>
        <v>0</v>
      </c>
      <c r="GT23" s="33" t="str">
        <f>IF(Activities!L23=GS23,"OK","Error")</f>
        <v>OK</v>
      </c>
      <c r="GU23" s="19">
        <f t="shared" si="11"/>
        <v>0</v>
      </c>
      <c r="GV23" s="33" t="str">
        <f>IF(Activities!M23=GU23,"OK","Error")</f>
        <v>OK</v>
      </c>
      <c r="GW23" s="19">
        <f t="shared" si="12"/>
        <v>0</v>
      </c>
      <c r="GX23" s="33" t="str">
        <f>IF(Activities!N23=GW23,"OK","Error")</f>
        <v>OK</v>
      </c>
      <c r="GY23" s="19">
        <f t="shared" si="13"/>
        <v>0</v>
      </c>
      <c r="GZ23" s="33" t="str">
        <f>IF(Activities!O23=GY23,"OK","Error")</f>
        <v>OK</v>
      </c>
      <c r="HA23" s="19">
        <f t="shared" si="14"/>
        <v>0</v>
      </c>
      <c r="HB23" s="33" t="str">
        <f>IF(Activities!P23=HA23,"OK","Error")</f>
        <v>OK</v>
      </c>
      <c r="HC23" s="19">
        <f t="shared" si="15"/>
        <v>0</v>
      </c>
      <c r="HD23" s="33" t="str">
        <f>IF(Activities!Q23=HC23,"OK","Error")</f>
        <v>OK</v>
      </c>
      <c r="HE23" s="19">
        <f t="shared" si="16"/>
        <v>0</v>
      </c>
      <c r="HF23" s="33" t="str">
        <f>IF(Activities!R23=HE23,"OK","Error")</f>
        <v>OK</v>
      </c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</row>
    <row r="24" spans="1:239" s="76" customFormat="1" ht="22.05" hidden="1" customHeight="1" x14ac:dyDescent="0.35">
      <c r="A24" s="34">
        <v>22</v>
      </c>
      <c r="B24" s="134" t="str">
        <f>IF(Top_22="","",Top_22)</f>
        <v/>
      </c>
      <c r="C24" s="20" t="str">
        <f>IF(TopV_22="","",TopV_22)</f>
        <v/>
      </c>
      <c r="D24" s="34">
        <f>Topics!F24</f>
        <v>0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4">
        <f>Topics!G24</f>
        <v>0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4">
        <f>Topics!H24</f>
        <v>0</v>
      </c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4">
        <f>Topics!I24</f>
        <v>0</v>
      </c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4">
        <f>Topics!J24</f>
        <v>0</v>
      </c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4">
        <f>Topics!K24</f>
        <v>0</v>
      </c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4">
        <f>Topics!L24</f>
        <v>0</v>
      </c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4">
        <f>Topics!M24</f>
        <v>0</v>
      </c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4">
        <f>Topics!N24</f>
        <v>0</v>
      </c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4">
        <f>Topics!O24</f>
        <v>0</v>
      </c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4">
        <f>Topics!P24</f>
        <v>0</v>
      </c>
      <c r="EC24" s="37"/>
      <c r="ED24" s="37"/>
      <c r="EE24" s="37"/>
      <c r="EF24" s="37"/>
      <c r="EG24" s="37"/>
      <c r="EH24" s="37"/>
      <c r="EI24" s="37"/>
      <c r="EJ24" s="37"/>
      <c r="EK24" s="37"/>
      <c r="EL24" s="34">
        <f>Topics!Q24</f>
        <v>0</v>
      </c>
      <c r="EM24" s="37"/>
      <c r="EN24" s="37"/>
      <c r="EO24" s="37"/>
      <c r="EP24" s="37"/>
      <c r="EQ24" s="37"/>
      <c r="ER24" s="37"/>
      <c r="ES24" s="37"/>
      <c r="ET24" s="37"/>
      <c r="EU24" s="37"/>
      <c r="EV24" s="34">
        <f>Topics!R24</f>
        <v>0</v>
      </c>
      <c r="EW24" s="37"/>
      <c r="EX24" s="37"/>
      <c r="EY24" s="37"/>
      <c r="EZ24" s="37"/>
      <c r="FA24" s="37"/>
      <c r="FB24" s="37"/>
      <c r="FC24" s="37"/>
      <c r="FD24" s="37"/>
      <c r="FE24" s="37"/>
      <c r="FF24" s="34">
        <f>Topics!S24</f>
        <v>0</v>
      </c>
      <c r="FG24" s="37"/>
      <c r="FH24" s="37"/>
      <c r="FI24" s="37"/>
      <c r="FJ24" s="37"/>
      <c r="FK24" s="37"/>
      <c r="FL24" s="37"/>
      <c r="FM24" s="37"/>
      <c r="FN24" s="37"/>
      <c r="FO24" s="37"/>
      <c r="FP24" s="34">
        <f>Topics!T24</f>
        <v>0</v>
      </c>
      <c r="FQ24" s="37"/>
      <c r="FR24" s="37"/>
      <c r="FS24" s="37"/>
      <c r="FT24" s="37"/>
      <c r="FU24" s="37"/>
      <c r="FV24" s="37"/>
      <c r="FW24" s="37"/>
      <c r="FX24" s="37"/>
      <c r="FY24" s="37"/>
      <c r="FZ24" s="33" t="str">
        <f t="shared" si="0"/>
        <v>Error</v>
      </c>
      <c r="GA24" s="225"/>
      <c r="GB24" s="34">
        <f t="shared" si="1"/>
        <v>22</v>
      </c>
      <c r="GC24" s="19">
        <f t="shared" si="2"/>
        <v>0</v>
      </c>
      <c r="GD24" s="33" t="str">
        <f>IF(Activities!D24=GC24,"OK","Error")</f>
        <v>OK</v>
      </c>
      <c r="GE24" s="19">
        <f t="shared" si="3"/>
        <v>0</v>
      </c>
      <c r="GF24" s="33" t="str">
        <f>IF(Activities!E24=GE24,"OK","Error")</f>
        <v>OK</v>
      </c>
      <c r="GG24" s="19">
        <f t="shared" si="4"/>
        <v>0</v>
      </c>
      <c r="GH24" s="33" t="str">
        <f>IF(Activities!F24=GG24,"OK","Error")</f>
        <v>OK</v>
      </c>
      <c r="GI24" s="19">
        <f t="shared" si="5"/>
        <v>0</v>
      </c>
      <c r="GJ24" s="33" t="str">
        <f>IF(Activities!G24=GI24,"OK","Error")</f>
        <v>OK</v>
      </c>
      <c r="GK24" s="19">
        <f t="shared" si="6"/>
        <v>0</v>
      </c>
      <c r="GL24" s="33" t="str">
        <f>IF(Activities!H24=GK24,"OK","Error")</f>
        <v>OK</v>
      </c>
      <c r="GM24" s="19">
        <f t="shared" si="7"/>
        <v>0</v>
      </c>
      <c r="GN24" s="33" t="str">
        <f>IF(Activities!I24=GM24,"OK","Error")</f>
        <v>OK</v>
      </c>
      <c r="GO24" s="19">
        <f t="shared" si="8"/>
        <v>0</v>
      </c>
      <c r="GP24" s="33" t="str">
        <f>IF(Activities!J24=GO24,"OK","Error")</f>
        <v>OK</v>
      </c>
      <c r="GQ24" s="19">
        <f t="shared" si="9"/>
        <v>0</v>
      </c>
      <c r="GR24" s="33" t="str">
        <f>IF(Activities!K24=GQ24,"OK","Error")</f>
        <v>OK</v>
      </c>
      <c r="GS24" s="19">
        <f t="shared" si="10"/>
        <v>0</v>
      </c>
      <c r="GT24" s="33" t="str">
        <f>IF(Activities!L24=GS24,"OK","Error")</f>
        <v>OK</v>
      </c>
      <c r="GU24" s="19">
        <f t="shared" si="11"/>
        <v>0</v>
      </c>
      <c r="GV24" s="33" t="str">
        <f>IF(Activities!M24=GU24,"OK","Error")</f>
        <v>OK</v>
      </c>
      <c r="GW24" s="19">
        <f t="shared" si="12"/>
        <v>0</v>
      </c>
      <c r="GX24" s="33" t="str">
        <f>IF(Activities!N24=GW24,"OK","Error")</f>
        <v>OK</v>
      </c>
      <c r="GY24" s="19">
        <f t="shared" si="13"/>
        <v>0</v>
      </c>
      <c r="GZ24" s="33" t="str">
        <f>IF(Activities!O24=GY24,"OK","Error")</f>
        <v>OK</v>
      </c>
      <c r="HA24" s="19">
        <f t="shared" si="14"/>
        <v>0</v>
      </c>
      <c r="HB24" s="33" t="str">
        <f>IF(Activities!P24=HA24,"OK","Error")</f>
        <v>OK</v>
      </c>
      <c r="HC24" s="19">
        <f t="shared" si="15"/>
        <v>0</v>
      </c>
      <c r="HD24" s="33" t="str">
        <f>IF(Activities!Q24=HC24,"OK","Error")</f>
        <v>OK</v>
      </c>
      <c r="HE24" s="19">
        <f t="shared" si="16"/>
        <v>0</v>
      </c>
      <c r="HF24" s="33" t="str">
        <f>IF(Activities!R24=HE24,"OK","Error")</f>
        <v>OK</v>
      </c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</row>
    <row r="25" spans="1:239" s="76" customFormat="1" ht="22.05" hidden="1" customHeight="1" x14ac:dyDescent="0.35">
      <c r="A25" s="34">
        <v>23</v>
      </c>
      <c r="B25" s="133" t="str">
        <f>IF(Top_23="","",Top_23)</f>
        <v/>
      </c>
      <c r="C25" s="17" t="str">
        <f>IF(TopV_23="","",TopV_23)</f>
        <v/>
      </c>
      <c r="D25" s="34">
        <f>Topics!F25</f>
        <v>0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4">
        <f>Topics!G25</f>
        <v>0</v>
      </c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4">
        <f>Topics!H25</f>
        <v>0</v>
      </c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4">
        <f>Topics!I25</f>
        <v>0</v>
      </c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4">
        <f>Topics!J25</f>
        <v>0</v>
      </c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4">
        <f>Topics!K25</f>
        <v>0</v>
      </c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4">
        <f>Topics!L25</f>
        <v>0</v>
      </c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4">
        <f>Topics!M25</f>
        <v>0</v>
      </c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4">
        <f>Topics!N25</f>
        <v>0</v>
      </c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4">
        <f>Topics!O25</f>
        <v>0</v>
      </c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4">
        <f>Topics!P25</f>
        <v>0</v>
      </c>
      <c r="EC25" s="36"/>
      <c r="ED25" s="36"/>
      <c r="EE25" s="36"/>
      <c r="EF25" s="36"/>
      <c r="EG25" s="36"/>
      <c r="EH25" s="36"/>
      <c r="EI25" s="36"/>
      <c r="EJ25" s="36"/>
      <c r="EK25" s="36"/>
      <c r="EL25" s="34">
        <f>Topics!Q25</f>
        <v>0</v>
      </c>
      <c r="EM25" s="36"/>
      <c r="EN25" s="36"/>
      <c r="EO25" s="36"/>
      <c r="EP25" s="36"/>
      <c r="EQ25" s="36"/>
      <c r="ER25" s="36"/>
      <c r="ES25" s="36"/>
      <c r="ET25" s="36"/>
      <c r="EU25" s="36"/>
      <c r="EV25" s="34">
        <f>Topics!R25</f>
        <v>0</v>
      </c>
      <c r="EW25" s="36"/>
      <c r="EX25" s="36"/>
      <c r="EY25" s="36"/>
      <c r="EZ25" s="36"/>
      <c r="FA25" s="36"/>
      <c r="FB25" s="36"/>
      <c r="FC25" s="36"/>
      <c r="FD25" s="36"/>
      <c r="FE25" s="36"/>
      <c r="FF25" s="34">
        <f>Topics!S25</f>
        <v>0</v>
      </c>
      <c r="FG25" s="36"/>
      <c r="FH25" s="36"/>
      <c r="FI25" s="36"/>
      <c r="FJ25" s="36"/>
      <c r="FK25" s="36"/>
      <c r="FL25" s="36"/>
      <c r="FM25" s="36"/>
      <c r="FN25" s="36"/>
      <c r="FO25" s="36"/>
      <c r="FP25" s="34">
        <f>Topics!T25</f>
        <v>0</v>
      </c>
      <c r="FQ25" s="36"/>
      <c r="FR25" s="36"/>
      <c r="FS25" s="36"/>
      <c r="FT25" s="36"/>
      <c r="FU25" s="36"/>
      <c r="FV25" s="36"/>
      <c r="FW25" s="36"/>
      <c r="FX25" s="36"/>
      <c r="FY25" s="36"/>
      <c r="FZ25" s="33" t="str">
        <f t="shared" si="0"/>
        <v>Error</v>
      </c>
      <c r="GA25" s="225"/>
      <c r="GB25" s="34">
        <f t="shared" si="1"/>
        <v>23</v>
      </c>
      <c r="GC25" s="19">
        <f t="shared" si="2"/>
        <v>0</v>
      </c>
      <c r="GD25" s="33" t="str">
        <f>IF(Activities!D25=GC25,"OK","Error")</f>
        <v>OK</v>
      </c>
      <c r="GE25" s="19">
        <f t="shared" si="3"/>
        <v>0</v>
      </c>
      <c r="GF25" s="33" t="str">
        <f>IF(Activities!E25=GE25,"OK","Error")</f>
        <v>OK</v>
      </c>
      <c r="GG25" s="19">
        <f t="shared" si="4"/>
        <v>0</v>
      </c>
      <c r="GH25" s="33" t="str">
        <f>IF(Activities!F25=GG25,"OK","Error")</f>
        <v>OK</v>
      </c>
      <c r="GI25" s="19">
        <f t="shared" si="5"/>
        <v>0</v>
      </c>
      <c r="GJ25" s="33" t="str">
        <f>IF(Activities!G25=GI25,"OK","Error")</f>
        <v>OK</v>
      </c>
      <c r="GK25" s="19">
        <f t="shared" si="6"/>
        <v>0</v>
      </c>
      <c r="GL25" s="33" t="str">
        <f>IF(Activities!H25=GK25,"OK","Error")</f>
        <v>OK</v>
      </c>
      <c r="GM25" s="19">
        <f t="shared" si="7"/>
        <v>0</v>
      </c>
      <c r="GN25" s="33" t="str">
        <f>IF(Activities!I25=GM25,"OK","Error")</f>
        <v>OK</v>
      </c>
      <c r="GO25" s="19">
        <f t="shared" si="8"/>
        <v>0</v>
      </c>
      <c r="GP25" s="33" t="str">
        <f>IF(Activities!J25=GO25,"OK","Error")</f>
        <v>OK</v>
      </c>
      <c r="GQ25" s="19">
        <f t="shared" si="9"/>
        <v>0</v>
      </c>
      <c r="GR25" s="33" t="str">
        <f>IF(Activities!K25=GQ25,"OK","Error")</f>
        <v>OK</v>
      </c>
      <c r="GS25" s="19">
        <f t="shared" si="10"/>
        <v>0</v>
      </c>
      <c r="GT25" s="33" t="str">
        <f>IF(Activities!L25=GS25,"OK","Error")</f>
        <v>OK</v>
      </c>
      <c r="GU25" s="19">
        <f t="shared" si="11"/>
        <v>0</v>
      </c>
      <c r="GV25" s="33" t="str">
        <f>IF(Activities!M25=GU25,"OK","Error")</f>
        <v>OK</v>
      </c>
      <c r="GW25" s="19">
        <f t="shared" si="12"/>
        <v>0</v>
      </c>
      <c r="GX25" s="33" t="str">
        <f>IF(Activities!N25=GW25,"OK","Error")</f>
        <v>OK</v>
      </c>
      <c r="GY25" s="19">
        <f t="shared" si="13"/>
        <v>0</v>
      </c>
      <c r="GZ25" s="33" t="str">
        <f>IF(Activities!O25=GY25,"OK","Error")</f>
        <v>OK</v>
      </c>
      <c r="HA25" s="19">
        <f t="shared" si="14"/>
        <v>0</v>
      </c>
      <c r="HB25" s="33" t="str">
        <f>IF(Activities!P25=HA25,"OK","Error")</f>
        <v>OK</v>
      </c>
      <c r="HC25" s="19">
        <f t="shared" si="15"/>
        <v>0</v>
      </c>
      <c r="HD25" s="33" t="str">
        <f>IF(Activities!Q25=HC25,"OK","Error")</f>
        <v>OK</v>
      </c>
      <c r="HE25" s="19">
        <f t="shared" si="16"/>
        <v>0</v>
      </c>
      <c r="HF25" s="33" t="str">
        <f>IF(Activities!R25=HE25,"OK","Error")</f>
        <v>OK</v>
      </c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</row>
    <row r="26" spans="1:239" s="76" customFormat="1" ht="22.05" hidden="1" customHeight="1" x14ac:dyDescent="0.35">
      <c r="A26" s="34">
        <v>24</v>
      </c>
      <c r="B26" s="134" t="str">
        <f>IF(Top_24="","",Top_24)</f>
        <v/>
      </c>
      <c r="C26" s="20" t="str">
        <f>IF(TopV_24="","",TopV_24)</f>
        <v/>
      </c>
      <c r="D26" s="75">
        <f>Topics!F26</f>
        <v>0</v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75">
        <f>Topics!G26</f>
        <v>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75">
        <f>Topics!H26</f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4">
        <f>Topics!I26</f>
        <v>0</v>
      </c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4">
        <f>Topics!J26</f>
        <v>0</v>
      </c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4">
        <f>Topics!K26</f>
        <v>0</v>
      </c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4">
        <f>Topics!L26</f>
        <v>0</v>
      </c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4">
        <f>Topics!M26</f>
        <v>0</v>
      </c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4">
        <f>Topics!N26</f>
        <v>0</v>
      </c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4">
        <f>Topics!O26</f>
        <v>0</v>
      </c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4">
        <f>Topics!P26</f>
        <v>0</v>
      </c>
      <c r="EC26" s="37"/>
      <c r="ED26" s="37"/>
      <c r="EE26" s="37"/>
      <c r="EF26" s="37"/>
      <c r="EG26" s="37"/>
      <c r="EH26" s="37"/>
      <c r="EI26" s="37"/>
      <c r="EJ26" s="37"/>
      <c r="EK26" s="37"/>
      <c r="EL26" s="34">
        <f>Topics!Q26</f>
        <v>0</v>
      </c>
      <c r="EM26" s="37"/>
      <c r="EN26" s="37"/>
      <c r="EO26" s="37"/>
      <c r="EP26" s="37"/>
      <c r="EQ26" s="37"/>
      <c r="ER26" s="37"/>
      <c r="ES26" s="37"/>
      <c r="ET26" s="37"/>
      <c r="EU26" s="37"/>
      <c r="EV26" s="34">
        <f>Topics!R26</f>
        <v>0</v>
      </c>
      <c r="EW26" s="37"/>
      <c r="EX26" s="37"/>
      <c r="EY26" s="37"/>
      <c r="EZ26" s="37"/>
      <c r="FA26" s="37"/>
      <c r="FB26" s="37"/>
      <c r="FC26" s="37"/>
      <c r="FD26" s="37"/>
      <c r="FE26" s="37"/>
      <c r="FF26" s="34">
        <f>Topics!S26</f>
        <v>0</v>
      </c>
      <c r="FG26" s="37"/>
      <c r="FH26" s="37"/>
      <c r="FI26" s="37"/>
      <c r="FJ26" s="37"/>
      <c r="FK26" s="37"/>
      <c r="FL26" s="37"/>
      <c r="FM26" s="37"/>
      <c r="FN26" s="37"/>
      <c r="FO26" s="37"/>
      <c r="FP26" s="34">
        <f>Topics!T26</f>
        <v>0</v>
      </c>
      <c r="FQ26" s="37"/>
      <c r="FR26" s="37"/>
      <c r="FS26" s="37"/>
      <c r="FT26" s="37"/>
      <c r="FU26" s="37"/>
      <c r="FV26" s="37"/>
      <c r="FW26" s="37"/>
      <c r="FX26" s="37"/>
      <c r="FY26" s="37"/>
      <c r="FZ26" s="33" t="str">
        <f t="shared" si="0"/>
        <v>Error</v>
      </c>
      <c r="GA26" s="225"/>
      <c r="GB26" s="34">
        <f t="shared" si="1"/>
        <v>24</v>
      </c>
      <c r="GC26" s="19">
        <f t="shared" si="2"/>
        <v>0</v>
      </c>
      <c r="GD26" s="33" t="str">
        <f>IF(Activities!D26=GC26,"OK","Error")</f>
        <v>OK</v>
      </c>
      <c r="GE26" s="19">
        <f t="shared" si="3"/>
        <v>0</v>
      </c>
      <c r="GF26" s="33" t="str">
        <f>IF(Activities!E26=GE26,"OK","Error")</f>
        <v>OK</v>
      </c>
      <c r="GG26" s="19">
        <f t="shared" si="4"/>
        <v>0</v>
      </c>
      <c r="GH26" s="33" t="str">
        <f>IF(Activities!F26=GG26,"OK","Error")</f>
        <v>OK</v>
      </c>
      <c r="GI26" s="19">
        <f t="shared" si="5"/>
        <v>0</v>
      </c>
      <c r="GJ26" s="33" t="str">
        <f>IF(Activities!G26=GI26,"OK","Error")</f>
        <v>OK</v>
      </c>
      <c r="GK26" s="19">
        <f t="shared" si="6"/>
        <v>0</v>
      </c>
      <c r="GL26" s="33" t="str">
        <f>IF(Activities!H26=GK26,"OK","Error")</f>
        <v>OK</v>
      </c>
      <c r="GM26" s="19">
        <f t="shared" si="7"/>
        <v>0</v>
      </c>
      <c r="GN26" s="33" t="str">
        <f>IF(Activities!I26=GM26,"OK","Error")</f>
        <v>OK</v>
      </c>
      <c r="GO26" s="19">
        <f t="shared" si="8"/>
        <v>0</v>
      </c>
      <c r="GP26" s="33" t="str">
        <f>IF(Activities!J26=GO26,"OK","Error")</f>
        <v>OK</v>
      </c>
      <c r="GQ26" s="19">
        <f t="shared" si="9"/>
        <v>0</v>
      </c>
      <c r="GR26" s="33" t="str">
        <f>IF(Activities!K26=GQ26,"OK","Error")</f>
        <v>OK</v>
      </c>
      <c r="GS26" s="19">
        <f t="shared" si="10"/>
        <v>0</v>
      </c>
      <c r="GT26" s="33" t="str">
        <f>IF(Activities!L26=GS26,"OK","Error")</f>
        <v>OK</v>
      </c>
      <c r="GU26" s="19">
        <f t="shared" si="11"/>
        <v>0</v>
      </c>
      <c r="GV26" s="33" t="str">
        <f>IF(Activities!M26=GU26,"OK","Error")</f>
        <v>OK</v>
      </c>
      <c r="GW26" s="19">
        <f t="shared" si="12"/>
        <v>0</v>
      </c>
      <c r="GX26" s="33" t="str">
        <f>IF(Activities!N26=GW26,"OK","Error")</f>
        <v>OK</v>
      </c>
      <c r="GY26" s="19">
        <f t="shared" si="13"/>
        <v>0</v>
      </c>
      <c r="GZ26" s="33" t="str">
        <f>IF(Activities!O26=GY26,"OK","Error")</f>
        <v>OK</v>
      </c>
      <c r="HA26" s="19">
        <f t="shared" si="14"/>
        <v>0</v>
      </c>
      <c r="HB26" s="33" t="str">
        <f>IF(Activities!P26=HA26,"OK","Error")</f>
        <v>OK</v>
      </c>
      <c r="HC26" s="19">
        <f t="shared" si="15"/>
        <v>0</v>
      </c>
      <c r="HD26" s="33" t="str">
        <f>IF(Activities!Q26=HC26,"OK","Error")</f>
        <v>OK</v>
      </c>
      <c r="HE26" s="19">
        <f t="shared" si="16"/>
        <v>0</v>
      </c>
      <c r="HF26" s="33" t="str">
        <f>IF(Activities!R26=HE26,"OK","Error")</f>
        <v>OK</v>
      </c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</row>
    <row r="27" spans="1:239" s="76" customFormat="1" ht="22.05" hidden="1" customHeight="1" x14ac:dyDescent="0.35">
      <c r="A27" s="34">
        <v>25</v>
      </c>
      <c r="B27" s="133" t="str">
        <f>IF(Top_25="","",Top_25)</f>
        <v/>
      </c>
      <c r="C27" s="17" t="str">
        <f>IF(TopV_25="","",TopV_25)</f>
        <v/>
      </c>
      <c r="D27" s="34">
        <f>Topics!F27</f>
        <v>0</v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4">
        <f>Topics!G27</f>
        <v>0</v>
      </c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4">
        <f>Topics!H27</f>
        <v>0</v>
      </c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4">
        <f>Topics!I27</f>
        <v>0</v>
      </c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4">
        <f>Topics!J27</f>
        <v>0</v>
      </c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4">
        <f>Topics!K27</f>
        <v>0</v>
      </c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4">
        <f>Topics!L27</f>
        <v>0</v>
      </c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4">
        <f>Topics!M27</f>
        <v>0</v>
      </c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4">
        <f>Topics!N27</f>
        <v>0</v>
      </c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4">
        <f>Topics!O27</f>
        <v>0</v>
      </c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4">
        <f>Topics!P27</f>
        <v>0</v>
      </c>
      <c r="EC27" s="36"/>
      <c r="ED27" s="36"/>
      <c r="EE27" s="36"/>
      <c r="EF27" s="36"/>
      <c r="EG27" s="36"/>
      <c r="EH27" s="36"/>
      <c r="EI27" s="36"/>
      <c r="EJ27" s="36"/>
      <c r="EK27" s="36"/>
      <c r="EL27" s="34">
        <f>Topics!Q27</f>
        <v>0</v>
      </c>
      <c r="EM27" s="36"/>
      <c r="EN27" s="36"/>
      <c r="EO27" s="36"/>
      <c r="EP27" s="36"/>
      <c r="EQ27" s="36"/>
      <c r="ER27" s="36"/>
      <c r="ES27" s="36"/>
      <c r="ET27" s="36"/>
      <c r="EU27" s="36"/>
      <c r="EV27" s="34">
        <f>Topics!R27</f>
        <v>0</v>
      </c>
      <c r="EW27" s="36"/>
      <c r="EX27" s="36"/>
      <c r="EY27" s="36"/>
      <c r="EZ27" s="36"/>
      <c r="FA27" s="36"/>
      <c r="FB27" s="36"/>
      <c r="FC27" s="36"/>
      <c r="FD27" s="36"/>
      <c r="FE27" s="36"/>
      <c r="FF27" s="34">
        <f>Topics!S27</f>
        <v>0</v>
      </c>
      <c r="FG27" s="36"/>
      <c r="FH27" s="36"/>
      <c r="FI27" s="36"/>
      <c r="FJ27" s="36"/>
      <c r="FK27" s="36"/>
      <c r="FL27" s="36"/>
      <c r="FM27" s="36"/>
      <c r="FN27" s="36"/>
      <c r="FO27" s="36"/>
      <c r="FP27" s="34">
        <f>Topics!T27</f>
        <v>0</v>
      </c>
      <c r="FQ27" s="36"/>
      <c r="FR27" s="36"/>
      <c r="FS27" s="36"/>
      <c r="FT27" s="36"/>
      <c r="FU27" s="36"/>
      <c r="FV27" s="36"/>
      <c r="FW27" s="36"/>
      <c r="FX27" s="36"/>
      <c r="FY27" s="36"/>
      <c r="FZ27" s="33" t="str">
        <f t="shared" si="0"/>
        <v>Error</v>
      </c>
      <c r="GA27" s="225"/>
      <c r="GB27" s="34">
        <f t="shared" si="1"/>
        <v>25</v>
      </c>
      <c r="GC27" s="19">
        <f t="shared" si="2"/>
        <v>0</v>
      </c>
      <c r="GD27" s="33" t="str">
        <f>IF(Activities!D27=GC27,"OK","Error")</f>
        <v>OK</v>
      </c>
      <c r="GE27" s="19">
        <f t="shared" si="3"/>
        <v>0</v>
      </c>
      <c r="GF27" s="33" t="str">
        <f>IF(Activities!E27=GE27,"OK","Error")</f>
        <v>OK</v>
      </c>
      <c r="GG27" s="19">
        <f t="shared" si="4"/>
        <v>0</v>
      </c>
      <c r="GH27" s="33" t="str">
        <f>IF(Activities!F27=GG27,"OK","Error")</f>
        <v>OK</v>
      </c>
      <c r="GI27" s="19">
        <f t="shared" si="5"/>
        <v>0</v>
      </c>
      <c r="GJ27" s="33" t="str">
        <f>IF(Activities!G27=GI27,"OK","Error")</f>
        <v>OK</v>
      </c>
      <c r="GK27" s="19">
        <f t="shared" si="6"/>
        <v>0</v>
      </c>
      <c r="GL27" s="33" t="str">
        <f>IF(Activities!H27=GK27,"OK","Error")</f>
        <v>OK</v>
      </c>
      <c r="GM27" s="19">
        <f t="shared" si="7"/>
        <v>0</v>
      </c>
      <c r="GN27" s="33" t="str">
        <f>IF(Activities!I27=GM27,"OK","Error")</f>
        <v>OK</v>
      </c>
      <c r="GO27" s="19">
        <f t="shared" si="8"/>
        <v>0</v>
      </c>
      <c r="GP27" s="33" t="str">
        <f>IF(Activities!J27=GO27,"OK","Error")</f>
        <v>OK</v>
      </c>
      <c r="GQ27" s="19">
        <f t="shared" si="9"/>
        <v>0</v>
      </c>
      <c r="GR27" s="33" t="str">
        <f>IF(Activities!K27=GQ27,"OK","Error")</f>
        <v>OK</v>
      </c>
      <c r="GS27" s="19">
        <f t="shared" si="10"/>
        <v>0</v>
      </c>
      <c r="GT27" s="33" t="str">
        <f>IF(Activities!L27=GS27,"OK","Error")</f>
        <v>OK</v>
      </c>
      <c r="GU27" s="19">
        <f t="shared" si="11"/>
        <v>0</v>
      </c>
      <c r="GV27" s="33" t="str">
        <f>IF(Activities!M27=GU27,"OK","Error")</f>
        <v>OK</v>
      </c>
      <c r="GW27" s="19">
        <f t="shared" si="12"/>
        <v>0</v>
      </c>
      <c r="GX27" s="33" t="str">
        <f>IF(Activities!N27=GW27,"OK","Error")</f>
        <v>OK</v>
      </c>
      <c r="GY27" s="19">
        <f t="shared" si="13"/>
        <v>0</v>
      </c>
      <c r="GZ27" s="33" t="str">
        <f>IF(Activities!O27=GY27,"OK","Error")</f>
        <v>OK</v>
      </c>
      <c r="HA27" s="19">
        <f t="shared" si="14"/>
        <v>0</v>
      </c>
      <c r="HB27" s="33" t="str">
        <f>IF(Activities!P27=HA27,"OK","Error")</f>
        <v>OK</v>
      </c>
      <c r="HC27" s="19">
        <f t="shared" si="15"/>
        <v>0</v>
      </c>
      <c r="HD27" s="33" t="str">
        <f>IF(Activities!Q27=HC27,"OK","Error")</f>
        <v>OK</v>
      </c>
      <c r="HE27" s="19">
        <f t="shared" si="16"/>
        <v>0</v>
      </c>
      <c r="HF27" s="33" t="str">
        <f>IF(Activities!R27=HE27,"OK","Error")</f>
        <v>OK</v>
      </c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</row>
    <row r="28" spans="1:239" s="76" customFormat="1" ht="22.05" hidden="1" customHeight="1" x14ac:dyDescent="0.35">
      <c r="A28" s="34">
        <v>26</v>
      </c>
      <c r="B28" s="134" t="str">
        <f>IF(Top_26="","",Top_26)</f>
        <v/>
      </c>
      <c r="C28" s="20" t="str">
        <f>IF(TopV_26="","",TopV_26)</f>
        <v/>
      </c>
      <c r="D28" s="34">
        <f>Topics!F28</f>
        <v>0</v>
      </c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4">
        <f>Topics!G28</f>
        <v>0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4">
        <f>Topics!H28</f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4">
        <f>Topics!I28</f>
        <v>0</v>
      </c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4">
        <f>Topics!J28</f>
        <v>0</v>
      </c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4">
        <f>Topics!K28</f>
        <v>0</v>
      </c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4">
        <f>Topics!L28</f>
        <v>0</v>
      </c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4">
        <f>Topics!M28</f>
        <v>0</v>
      </c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4">
        <f>Topics!N28</f>
        <v>0</v>
      </c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4">
        <f>Topics!O28</f>
        <v>0</v>
      </c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4">
        <f>Topics!P28</f>
        <v>0</v>
      </c>
      <c r="EC28" s="37"/>
      <c r="ED28" s="37"/>
      <c r="EE28" s="37"/>
      <c r="EF28" s="37"/>
      <c r="EG28" s="37"/>
      <c r="EH28" s="37"/>
      <c r="EI28" s="37"/>
      <c r="EJ28" s="37"/>
      <c r="EK28" s="37"/>
      <c r="EL28" s="34">
        <f>Topics!Q28</f>
        <v>0</v>
      </c>
      <c r="EM28" s="37"/>
      <c r="EN28" s="37"/>
      <c r="EO28" s="37"/>
      <c r="EP28" s="37"/>
      <c r="EQ28" s="37"/>
      <c r="ER28" s="37"/>
      <c r="ES28" s="37"/>
      <c r="ET28" s="37"/>
      <c r="EU28" s="37"/>
      <c r="EV28" s="34">
        <f>Topics!R28</f>
        <v>0</v>
      </c>
      <c r="EW28" s="37"/>
      <c r="EX28" s="37"/>
      <c r="EY28" s="37"/>
      <c r="EZ28" s="37"/>
      <c r="FA28" s="37"/>
      <c r="FB28" s="37"/>
      <c r="FC28" s="37"/>
      <c r="FD28" s="37"/>
      <c r="FE28" s="37"/>
      <c r="FF28" s="34">
        <f>Topics!S28</f>
        <v>0</v>
      </c>
      <c r="FG28" s="37"/>
      <c r="FH28" s="37"/>
      <c r="FI28" s="37"/>
      <c r="FJ28" s="37"/>
      <c r="FK28" s="37"/>
      <c r="FL28" s="37"/>
      <c r="FM28" s="37"/>
      <c r="FN28" s="37"/>
      <c r="FO28" s="37"/>
      <c r="FP28" s="34">
        <f>Topics!T28</f>
        <v>0</v>
      </c>
      <c r="FQ28" s="37"/>
      <c r="FR28" s="37"/>
      <c r="FS28" s="37"/>
      <c r="FT28" s="37"/>
      <c r="FU28" s="37"/>
      <c r="FV28" s="37"/>
      <c r="FW28" s="37"/>
      <c r="FX28" s="37"/>
      <c r="FY28" s="37"/>
      <c r="FZ28" s="33" t="str">
        <f t="shared" si="0"/>
        <v>Error</v>
      </c>
      <c r="GA28" s="225"/>
      <c r="GB28" s="34">
        <f t="shared" si="1"/>
        <v>26</v>
      </c>
      <c r="GC28" s="19">
        <f t="shared" si="2"/>
        <v>0</v>
      </c>
      <c r="GD28" s="33" t="str">
        <f>IF(Activities!D28=GC28,"OK","Error")</f>
        <v>OK</v>
      </c>
      <c r="GE28" s="19">
        <f t="shared" si="3"/>
        <v>0</v>
      </c>
      <c r="GF28" s="33" t="str">
        <f>IF(Activities!E28=GE28,"OK","Error")</f>
        <v>OK</v>
      </c>
      <c r="GG28" s="19">
        <f t="shared" si="4"/>
        <v>0</v>
      </c>
      <c r="GH28" s="33" t="str">
        <f>IF(Activities!F28=GG28,"OK","Error")</f>
        <v>OK</v>
      </c>
      <c r="GI28" s="19">
        <f t="shared" si="5"/>
        <v>0</v>
      </c>
      <c r="GJ28" s="33" t="str">
        <f>IF(Activities!G28=GI28,"OK","Error")</f>
        <v>OK</v>
      </c>
      <c r="GK28" s="19">
        <f t="shared" si="6"/>
        <v>0</v>
      </c>
      <c r="GL28" s="33" t="str">
        <f>IF(Activities!H28=GK28,"OK","Error")</f>
        <v>OK</v>
      </c>
      <c r="GM28" s="19">
        <f t="shared" si="7"/>
        <v>0</v>
      </c>
      <c r="GN28" s="33" t="str">
        <f>IF(Activities!I28=GM28,"OK","Error")</f>
        <v>OK</v>
      </c>
      <c r="GO28" s="19">
        <f t="shared" si="8"/>
        <v>0</v>
      </c>
      <c r="GP28" s="33" t="str">
        <f>IF(Activities!J28=GO28,"OK","Error")</f>
        <v>OK</v>
      </c>
      <c r="GQ28" s="19">
        <f t="shared" si="9"/>
        <v>0</v>
      </c>
      <c r="GR28" s="33" t="str">
        <f>IF(Activities!K28=GQ28,"OK","Error")</f>
        <v>OK</v>
      </c>
      <c r="GS28" s="19">
        <f t="shared" si="10"/>
        <v>0</v>
      </c>
      <c r="GT28" s="33" t="str">
        <f>IF(Activities!L28=GS28,"OK","Error")</f>
        <v>OK</v>
      </c>
      <c r="GU28" s="19">
        <f t="shared" si="11"/>
        <v>0</v>
      </c>
      <c r="GV28" s="33" t="str">
        <f>IF(Activities!M28=GU28,"OK","Error")</f>
        <v>OK</v>
      </c>
      <c r="GW28" s="19">
        <f t="shared" si="12"/>
        <v>0</v>
      </c>
      <c r="GX28" s="33" t="str">
        <f>IF(Activities!N28=GW28,"OK","Error")</f>
        <v>OK</v>
      </c>
      <c r="GY28" s="19">
        <f t="shared" si="13"/>
        <v>0</v>
      </c>
      <c r="GZ28" s="33" t="str">
        <f>IF(Activities!O28=GY28,"OK","Error")</f>
        <v>OK</v>
      </c>
      <c r="HA28" s="19">
        <f t="shared" si="14"/>
        <v>0</v>
      </c>
      <c r="HB28" s="33" t="str">
        <f>IF(Activities!P28=HA28,"OK","Error")</f>
        <v>OK</v>
      </c>
      <c r="HC28" s="19">
        <f t="shared" si="15"/>
        <v>0</v>
      </c>
      <c r="HD28" s="33" t="str">
        <f>IF(Activities!Q28=HC28,"OK","Error")</f>
        <v>OK</v>
      </c>
      <c r="HE28" s="19">
        <f t="shared" si="16"/>
        <v>0</v>
      </c>
      <c r="HF28" s="33" t="str">
        <f>IF(Activities!R28=HE28,"OK","Error")</f>
        <v>OK</v>
      </c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</row>
    <row r="29" spans="1:239" s="76" customFormat="1" ht="22.05" hidden="1" customHeight="1" x14ac:dyDescent="0.35">
      <c r="A29" s="34">
        <v>27</v>
      </c>
      <c r="B29" s="133" t="str">
        <f>IF(Top_27="","",Top_27)</f>
        <v/>
      </c>
      <c r="C29" s="17" t="str">
        <f>IF(TopV_27="","",TopV_27)</f>
        <v/>
      </c>
      <c r="D29" s="34">
        <f>Topics!F29</f>
        <v>0</v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4">
        <f>Topics!G29</f>
        <v>0</v>
      </c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4">
        <f>Topics!H29</f>
        <v>0</v>
      </c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4">
        <f>Topics!I29</f>
        <v>0</v>
      </c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4">
        <f>Topics!J29</f>
        <v>0</v>
      </c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4">
        <f>Topics!K29</f>
        <v>0</v>
      </c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4">
        <f>Topics!L29</f>
        <v>0</v>
      </c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4">
        <f>Topics!M29</f>
        <v>0</v>
      </c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4">
        <f>Topics!N29</f>
        <v>0</v>
      </c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4">
        <f>Topics!O29</f>
        <v>0</v>
      </c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4">
        <f>Topics!P29</f>
        <v>0</v>
      </c>
      <c r="EC29" s="36"/>
      <c r="ED29" s="36"/>
      <c r="EE29" s="36"/>
      <c r="EF29" s="36"/>
      <c r="EG29" s="36"/>
      <c r="EH29" s="36"/>
      <c r="EI29" s="36"/>
      <c r="EJ29" s="36"/>
      <c r="EK29" s="36"/>
      <c r="EL29" s="34">
        <f>Topics!Q29</f>
        <v>0</v>
      </c>
      <c r="EM29" s="36"/>
      <c r="EN29" s="36"/>
      <c r="EO29" s="36"/>
      <c r="EP29" s="36"/>
      <c r="EQ29" s="36"/>
      <c r="ER29" s="36"/>
      <c r="ES29" s="36"/>
      <c r="ET29" s="36"/>
      <c r="EU29" s="36"/>
      <c r="EV29" s="34">
        <f>Topics!R29</f>
        <v>0</v>
      </c>
      <c r="EW29" s="36"/>
      <c r="EX29" s="36"/>
      <c r="EY29" s="36"/>
      <c r="EZ29" s="36"/>
      <c r="FA29" s="36"/>
      <c r="FB29" s="36"/>
      <c r="FC29" s="36"/>
      <c r="FD29" s="36"/>
      <c r="FE29" s="36"/>
      <c r="FF29" s="34">
        <f>Topics!S29</f>
        <v>0</v>
      </c>
      <c r="FG29" s="36"/>
      <c r="FH29" s="36"/>
      <c r="FI29" s="36"/>
      <c r="FJ29" s="36"/>
      <c r="FK29" s="36"/>
      <c r="FL29" s="36"/>
      <c r="FM29" s="36"/>
      <c r="FN29" s="36"/>
      <c r="FO29" s="36"/>
      <c r="FP29" s="34">
        <f>Topics!T29</f>
        <v>0</v>
      </c>
      <c r="FQ29" s="36"/>
      <c r="FR29" s="36"/>
      <c r="FS29" s="36"/>
      <c r="FT29" s="36"/>
      <c r="FU29" s="36"/>
      <c r="FV29" s="36"/>
      <c r="FW29" s="36"/>
      <c r="FX29" s="36"/>
      <c r="FY29" s="36"/>
      <c r="FZ29" s="33" t="str">
        <f t="shared" si="0"/>
        <v>Error</v>
      </c>
      <c r="GA29" s="225"/>
      <c r="GB29" s="34">
        <f t="shared" si="1"/>
        <v>27</v>
      </c>
      <c r="GC29" s="19">
        <f t="shared" si="2"/>
        <v>0</v>
      </c>
      <c r="GD29" s="33" t="str">
        <f>IF(Activities!D29=GC29,"OK","Error")</f>
        <v>OK</v>
      </c>
      <c r="GE29" s="19">
        <f t="shared" si="3"/>
        <v>0</v>
      </c>
      <c r="GF29" s="33" t="str">
        <f>IF(Activities!E29=GE29,"OK","Error")</f>
        <v>OK</v>
      </c>
      <c r="GG29" s="19">
        <f t="shared" si="4"/>
        <v>0</v>
      </c>
      <c r="GH29" s="33" t="str">
        <f>IF(Activities!F29=GG29,"OK","Error")</f>
        <v>OK</v>
      </c>
      <c r="GI29" s="19">
        <f t="shared" si="5"/>
        <v>0</v>
      </c>
      <c r="GJ29" s="33" t="str">
        <f>IF(Activities!G29=GI29,"OK","Error")</f>
        <v>OK</v>
      </c>
      <c r="GK29" s="19">
        <f t="shared" si="6"/>
        <v>0</v>
      </c>
      <c r="GL29" s="33" t="str">
        <f>IF(Activities!H29=GK29,"OK","Error")</f>
        <v>OK</v>
      </c>
      <c r="GM29" s="19">
        <f t="shared" si="7"/>
        <v>0</v>
      </c>
      <c r="GN29" s="33" t="str">
        <f>IF(Activities!I29=GM29,"OK","Error")</f>
        <v>OK</v>
      </c>
      <c r="GO29" s="19">
        <f t="shared" si="8"/>
        <v>0</v>
      </c>
      <c r="GP29" s="33" t="str">
        <f>IF(Activities!J29=GO29,"OK","Error")</f>
        <v>OK</v>
      </c>
      <c r="GQ29" s="19">
        <f t="shared" si="9"/>
        <v>0</v>
      </c>
      <c r="GR29" s="33" t="str">
        <f>IF(Activities!K29=GQ29,"OK","Error")</f>
        <v>OK</v>
      </c>
      <c r="GS29" s="19">
        <f t="shared" si="10"/>
        <v>0</v>
      </c>
      <c r="GT29" s="33" t="str">
        <f>IF(Activities!L29=GS29,"OK","Error")</f>
        <v>OK</v>
      </c>
      <c r="GU29" s="19">
        <f t="shared" si="11"/>
        <v>0</v>
      </c>
      <c r="GV29" s="33" t="str">
        <f>IF(Activities!M29=GU29,"OK","Error")</f>
        <v>OK</v>
      </c>
      <c r="GW29" s="19">
        <f t="shared" si="12"/>
        <v>0</v>
      </c>
      <c r="GX29" s="33" t="str">
        <f>IF(Activities!N29=GW29,"OK","Error")</f>
        <v>OK</v>
      </c>
      <c r="GY29" s="19">
        <f t="shared" si="13"/>
        <v>0</v>
      </c>
      <c r="GZ29" s="33" t="str">
        <f>IF(Activities!O29=GY29,"OK","Error")</f>
        <v>OK</v>
      </c>
      <c r="HA29" s="19">
        <f t="shared" si="14"/>
        <v>0</v>
      </c>
      <c r="HB29" s="33" t="str">
        <f>IF(Activities!P29=HA29,"OK","Error")</f>
        <v>OK</v>
      </c>
      <c r="HC29" s="19">
        <f t="shared" si="15"/>
        <v>0</v>
      </c>
      <c r="HD29" s="33" t="str">
        <f>IF(Activities!Q29=HC29,"OK","Error")</f>
        <v>OK</v>
      </c>
      <c r="HE29" s="19">
        <f t="shared" si="16"/>
        <v>0</v>
      </c>
      <c r="HF29" s="33" t="str">
        <f>IF(Activities!R29=HE29,"OK","Error")</f>
        <v>OK</v>
      </c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</row>
    <row r="30" spans="1:239" s="76" customFormat="1" ht="22.05" hidden="1" customHeight="1" x14ac:dyDescent="0.35">
      <c r="A30" s="34">
        <v>28</v>
      </c>
      <c r="B30" s="134" t="str">
        <f>IF(Top_28="","",Top_28)</f>
        <v/>
      </c>
      <c r="C30" s="20" t="str">
        <f>IF(TopV_28="","",TopV_28)</f>
        <v/>
      </c>
      <c r="D30" s="75">
        <f>Topics!F30</f>
        <v>0</v>
      </c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75">
        <f>Topics!G30</f>
        <v>0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75">
        <f>Topics!H30</f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4">
        <f>Topics!I30</f>
        <v>0</v>
      </c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4">
        <f>Topics!J30</f>
        <v>0</v>
      </c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4">
        <f>Topics!K30</f>
        <v>0</v>
      </c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4">
        <f>Topics!L30</f>
        <v>0</v>
      </c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4">
        <f>Topics!M30</f>
        <v>0</v>
      </c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4">
        <f>Topics!N30</f>
        <v>0</v>
      </c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4">
        <f>Topics!O30</f>
        <v>0</v>
      </c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4">
        <f>Topics!P30</f>
        <v>0</v>
      </c>
      <c r="EC30" s="37"/>
      <c r="ED30" s="37"/>
      <c r="EE30" s="37"/>
      <c r="EF30" s="37"/>
      <c r="EG30" s="37"/>
      <c r="EH30" s="37"/>
      <c r="EI30" s="37"/>
      <c r="EJ30" s="37"/>
      <c r="EK30" s="37"/>
      <c r="EL30" s="34">
        <f>Topics!Q30</f>
        <v>0</v>
      </c>
      <c r="EM30" s="37"/>
      <c r="EN30" s="37"/>
      <c r="EO30" s="37"/>
      <c r="EP30" s="37"/>
      <c r="EQ30" s="37"/>
      <c r="ER30" s="37"/>
      <c r="ES30" s="37"/>
      <c r="ET30" s="37"/>
      <c r="EU30" s="37"/>
      <c r="EV30" s="34">
        <f>Topics!R30</f>
        <v>0</v>
      </c>
      <c r="EW30" s="37"/>
      <c r="EX30" s="37"/>
      <c r="EY30" s="37"/>
      <c r="EZ30" s="37"/>
      <c r="FA30" s="37"/>
      <c r="FB30" s="37"/>
      <c r="FC30" s="37"/>
      <c r="FD30" s="37"/>
      <c r="FE30" s="37"/>
      <c r="FF30" s="34">
        <f>Topics!S30</f>
        <v>0</v>
      </c>
      <c r="FG30" s="37"/>
      <c r="FH30" s="37"/>
      <c r="FI30" s="37"/>
      <c r="FJ30" s="37"/>
      <c r="FK30" s="37"/>
      <c r="FL30" s="37"/>
      <c r="FM30" s="37"/>
      <c r="FN30" s="37"/>
      <c r="FO30" s="37"/>
      <c r="FP30" s="34">
        <f>Topics!T30</f>
        <v>0</v>
      </c>
      <c r="FQ30" s="37"/>
      <c r="FR30" s="37"/>
      <c r="FS30" s="37"/>
      <c r="FT30" s="37"/>
      <c r="FU30" s="37"/>
      <c r="FV30" s="37"/>
      <c r="FW30" s="37"/>
      <c r="FX30" s="37"/>
      <c r="FY30" s="37"/>
      <c r="FZ30" s="33" t="str">
        <f t="shared" si="0"/>
        <v>Error</v>
      </c>
      <c r="GA30" s="225"/>
      <c r="GB30" s="34">
        <f t="shared" si="1"/>
        <v>28</v>
      </c>
      <c r="GC30" s="19">
        <f t="shared" si="2"/>
        <v>0</v>
      </c>
      <c r="GD30" s="33" t="str">
        <f>IF(Activities!D30=GC30,"OK","Error")</f>
        <v>OK</v>
      </c>
      <c r="GE30" s="19">
        <f t="shared" si="3"/>
        <v>0</v>
      </c>
      <c r="GF30" s="33" t="str">
        <f>IF(Activities!E30=GE30,"OK","Error")</f>
        <v>OK</v>
      </c>
      <c r="GG30" s="19">
        <f t="shared" si="4"/>
        <v>0</v>
      </c>
      <c r="GH30" s="33" t="str">
        <f>IF(Activities!F30=GG30,"OK","Error")</f>
        <v>OK</v>
      </c>
      <c r="GI30" s="19">
        <f t="shared" si="5"/>
        <v>0</v>
      </c>
      <c r="GJ30" s="33" t="str">
        <f>IF(Activities!G30=GI30,"OK","Error")</f>
        <v>OK</v>
      </c>
      <c r="GK30" s="19">
        <f t="shared" si="6"/>
        <v>0</v>
      </c>
      <c r="GL30" s="33" t="str">
        <f>IF(Activities!H30=GK30,"OK","Error")</f>
        <v>OK</v>
      </c>
      <c r="GM30" s="19">
        <f t="shared" si="7"/>
        <v>0</v>
      </c>
      <c r="GN30" s="33" t="str">
        <f>IF(Activities!I30=GM30,"OK","Error")</f>
        <v>OK</v>
      </c>
      <c r="GO30" s="19">
        <f t="shared" si="8"/>
        <v>0</v>
      </c>
      <c r="GP30" s="33" t="str">
        <f>IF(Activities!J30=GO30,"OK","Error")</f>
        <v>OK</v>
      </c>
      <c r="GQ30" s="19">
        <f t="shared" si="9"/>
        <v>0</v>
      </c>
      <c r="GR30" s="33" t="str">
        <f>IF(Activities!K30=GQ30,"OK","Error")</f>
        <v>OK</v>
      </c>
      <c r="GS30" s="19">
        <f t="shared" si="10"/>
        <v>0</v>
      </c>
      <c r="GT30" s="33" t="str">
        <f>IF(Activities!L30=GS30,"OK","Error")</f>
        <v>OK</v>
      </c>
      <c r="GU30" s="19">
        <f t="shared" si="11"/>
        <v>0</v>
      </c>
      <c r="GV30" s="33" t="str">
        <f>IF(Activities!M30=GU30,"OK","Error")</f>
        <v>OK</v>
      </c>
      <c r="GW30" s="19">
        <f t="shared" si="12"/>
        <v>0</v>
      </c>
      <c r="GX30" s="33" t="str">
        <f>IF(Activities!N30=GW30,"OK","Error")</f>
        <v>OK</v>
      </c>
      <c r="GY30" s="19">
        <f t="shared" si="13"/>
        <v>0</v>
      </c>
      <c r="GZ30" s="33" t="str">
        <f>IF(Activities!O30=GY30,"OK","Error")</f>
        <v>OK</v>
      </c>
      <c r="HA30" s="19">
        <f t="shared" si="14"/>
        <v>0</v>
      </c>
      <c r="HB30" s="33" t="str">
        <f>IF(Activities!P30=HA30,"OK","Error")</f>
        <v>OK</v>
      </c>
      <c r="HC30" s="19">
        <f t="shared" si="15"/>
        <v>0</v>
      </c>
      <c r="HD30" s="33" t="str">
        <f>IF(Activities!Q30=HC30,"OK","Error")</f>
        <v>OK</v>
      </c>
      <c r="HE30" s="19">
        <f t="shared" si="16"/>
        <v>0</v>
      </c>
      <c r="HF30" s="33" t="str">
        <f>IF(Activities!R30=HE30,"OK","Error")</f>
        <v>OK</v>
      </c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</row>
    <row r="31" spans="1:239" s="76" customFormat="1" ht="22.05" hidden="1" customHeight="1" x14ac:dyDescent="0.35">
      <c r="A31" s="34">
        <v>29</v>
      </c>
      <c r="B31" s="133" t="str">
        <f>IF(Top_29="","",Top_29)</f>
        <v/>
      </c>
      <c r="C31" s="17" t="str">
        <f>IF(TopV_29="","",TopV_29)</f>
        <v/>
      </c>
      <c r="D31" s="34">
        <f>Topics!F31</f>
        <v>0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4">
        <f>Topics!G31</f>
        <v>0</v>
      </c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4">
        <f>Topics!H31</f>
        <v>0</v>
      </c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4">
        <f>Topics!I31</f>
        <v>0</v>
      </c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4">
        <f>Topics!J31</f>
        <v>0</v>
      </c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4">
        <f>Topics!K31</f>
        <v>0</v>
      </c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4">
        <f>Topics!L31</f>
        <v>0</v>
      </c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4">
        <f>Topics!M31</f>
        <v>0</v>
      </c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4">
        <f>Topics!N31</f>
        <v>0</v>
      </c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4">
        <f>Topics!O31</f>
        <v>0</v>
      </c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4">
        <f>Topics!P31</f>
        <v>0</v>
      </c>
      <c r="EC31" s="36"/>
      <c r="ED31" s="36"/>
      <c r="EE31" s="36"/>
      <c r="EF31" s="36"/>
      <c r="EG31" s="36"/>
      <c r="EH31" s="36"/>
      <c r="EI31" s="36"/>
      <c r="EJ31" s="36"/>
      <c r="EK31" s="36"/>
      <c r="EL31" s="34">
        <f>Topics!Q31</f>
        <v>0</v>
      </c>
      <c r="EM31" s="36"/>
      <c r="EN31" s="36"/>
      <c r="EO31" s="36"/>
      <c r="EP31" s="36"/>
      <c r="EQ31" s="36"/>
      <c r="ER31" s="36"/>
      <c r="ES31" s="36"/>
      <c r="ET31" s="36"/>
      <c r="EU31" s="36"/>
      <c r="EV31" s="34">
        <f>Topics!R31</f>
        <v>0</v>
      </c>
      <c r="EW31" s="36"/>
      <c r="EX31" s="36"/>
      <c r="EY31" s="36"/>
      <c r="EZ31" s="36"/>
      <c r="FA31" s="36"/>
      <c r="FB31" s="36"/>
      <c r="FC31" s="36"/>
      <c r="FD31" s="36"/>
      <c r="FE31" s="36"/>
      <c r="FF31" s="34">
        <f>Topics!S31</f>
        <v>0</v>
      </c>
      <c r="FG31" s="36"/>
      <c r="FH31" s="36"/>
      <c r="FI31" s="36"/>
      <c r="FJ31" s="36"/>
      <c r="FK31" s="36"/>
      <c r="FL31" s="36"/>
      <c r="FM31" s="36"/>
      <c r="FN31" s="36"/>
      <c r="FO31" s="36"/>
      <c r="FP31" s="34">
        <f>Topics!T31</f>
        <v>0</v>
      </c>
      <c r="FQ31" s="36"/>
      <c r="FR31" s="36"/>
      <c r="FS31" s="36"/>
      <c r="FT31" s="36"/>
      <c r="FU31" s="36"/>
      <c r="FV31" s="36"/>
      <c r="FW31" s="36"/>
      <c r="FX31" s="36"/>
      <c r="FY31" s="36"/>
      <c r="FZ31" s="33" t="str">
        <f t="shared" si="0"/>
        <v>Error</v>
      </c>
      <c r="GA31" s="225"/>
      <c r="GB31" s="34">
        <f t="shared" si="1"/>
        <v>29</v>
      </c>
      <c r="GC31" s="19">
        <f t="shared" si="2"/>
        <v>0</v>
      </c>
      <c r="GD31" s="33" t="str">
        <f>IF(Activities!D31=GC31,"OK","Error")</f>
        <v>OK</v>
      </c>
      <c r="GE31" s="19">
        <f t="shared" si="3"/>
        <v>0</v>
      </c>
      <c r="GF31" s="33" t="str">
        <f>IF(Activities!E31=GE31,"OK","Error")</f>
        <v>OK</v>
      </c>
      <c r="GG31" s="19">
        <f t="shared" si="4"/>
        <v>0</v>
      </c>
      <c r="GH31" s="33" t="str">
        <f>IF(Activities!F31=GG31,"OK","Error")</f>
        <v>OK</v>
      </c>
      <c r="GI31" s="19">
        <f t="shared" si="5"/>
        <v>0</v>
      </c>
      <c r="GJ31" s="33" t="str">
        <f>IF(Activities!G31=GI31,"OK","Error")</f>
        <v>OK</v>
      </c>
      <c r="GK31" s="19">
        <f t="shared" si="6"/>
        <v>0</v>
      </c>
      <c r="GL31" s="33" t="str">
        <f>IF(Activities!H31=GK31,"OK","Error")</f>
        <v>OK</v>
      </c>
      <c r="GM31" s="19">
        <f t="shared" si="7"/>
        <v>0</v>
      </c>
      <c r="GN31" s="33" t="str">
        <f>IF(Activities!I31=GM31,"OK","Error")</f>
        <v>OK</v>
      </c>
      <c r="GO31" s="19">
        <f t="shared" si="8"/>
        <v>0</v>
      </c>
      <c r="GP31" s="33" t="str">
        <f>IF(Activities!J31=GO31,"OK","Error")</f>
        <v>OK</v>
      </c>
      <c r="GQ31" s="19">
        <f t="shared" si="9"/>
        <v>0</v>
      </c>
      <c r="GR31" s="33" t="str">
        <f>IF(Activities!K31=GQ31,"OK","Error")</f>
        <v>OK</v>
      </c>
      <c r="GS31" s="19">
        <f t="shared" si="10"/>
        <v>0</v>
      </c>
      <c r="GT31" s="33" t="str">
        <f>IF(Activities!L31=GS31,"OK","Error")</f>
        <v>OK</v>
      </c>
      <c r="GU31" s="19">
        <f t="shared" si="11"/>
        <v>0</v>
      </c>
      <c r="GV31" s="33" t="str">
        <f>IF(Activities!M31=GU31,"OK","Error")</f>
        <v>OK</v>
      </c>
      <c r="GW31" s="19">
        <f t="shared" si="12"/>
        <v>0</v>
      </c>
      <c r="GX31" s="33" t="str">
        <f>IF(Activities!N31=GW31,"OK","Error")</f>
        <v>OK</v>
      </c>
      <c r="GY31" s="19">
        <f t="shared" si="13"/>
        <v>0</v>
      </c>
      <c r="GZ31" s="33" t="str">
        <f>IF(Activities!O31=GY31,"OK","Error")</f>
        <v>OK</v>
      </c>
      <c r="HA31" s="19">
        <f t="shared" si="14"/>
        <v>0</v>
      </c>
      <c r="HB31" s="33" t="str">
        <f>IF(Activities!P31=HA31,"OK","Error")</f>
        <v>OK</v>
      </c>
      <c r="HC31" s="19">
        <f t="shared" si="15"/>
        <v>0</v>
      </c>
      <c r="HD31" s="33" t="str">
        <f>IF(Activities!Q31=HC31,"OK","Error")</f>
        <v>OK</v>
      </c>
      <c r="HE31" s="19">
        <f t="shared" si="16"/>
        <v>0</v>
      </c>
      <c r="HF31" s="33" t="str">
        <f>IF(Activities!R31=HE31,"OK","Error")</f>
        <v>OK</v>
      </c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</row>
    <row r="32" spans="1:239" s="76" customFormat="1" ht="22.05" hidden="1" customHeight="1" x14ac:dyDescent="0.35">
      <c r="A32" s="34">
        <v>30</v>
      </c>
      <c r="B32" s="134" t="str">
        <f>IF(Top_30="","",Top_30)</f>
        <v/>
      </c>
      <c r="C32" s="20" t="str">
        <f>IF(TopV_30="","",TopV_30)</f>
        <v/>
      </c>
      <c r="D32" s="34">
        <f>Topics!F32</f>
        <v>0</v>
      </c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4">
        <f>Topics!G32</f>
        <v>0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4">
        <f>Topics!H32</f>
        <v>0</v>
      </c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4">
        <f>Topics!I32</f>
        <v>0</v>
      </c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4">
        <f>Topics!J32</f>
        <v>0</v>
      </c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4">
        <f>Topics!K32</f>
        <v>0</v>
      </c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4">
        <f>Topics!L32</f>
        <v>0</v>
      </c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4">
        <f>Topics!M32</f>
        <v>0</v>
      </c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4">
        <f>Topics!N32</f>
        <v>0</v>
      </c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4">
        <f>Topics!O32</f>
        <v>0</v>
      </c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4">
        <f>Topics!P32</f>
        <v>0</v>
      </c>
      <c r="EC32" s="37"/>
      <c r="ED32" s="37"/>
      <c r="EE32" s="37"/>
      <c r="EF32" s="37"/>
      <c r="EG32" s="37"/>
      <c r="EH32" s="37"/>
      <c r="EI32" s="37"/>
      <c r="EJ32" s="37"/>
      <c r="EK32" s="37"/>
      <c r="EL32" s="34">
        <f>Topics!Q32</f>
        <v>0</v>
      </c>
      <c r="EM32" s="37"/>
      <c r="EN32" s="37"/>
      <c r="EO32" s="37"/>
      <c r="EP32" s="37"/>
      <c r="EQ32" s="37"/>
      <c r="ER32" s="37"/>
      <c r="ES32" s="37"/>
      <c r="ET32" s="37"/>
      <c r="EU32" s="37"/>
      <c r="EV32" s="34">
        <f>Topics!R32</f>
        <v>0</v>
      </c>
      <c r="EW32" s="37"/>
      <c r="EX32" s="37"/>
      <c r="EY32" s="37"/>
      <c r="EZ32" s="37"/>
      <c r="FA32" s="37"/>
      <c r="FB32" s="37"/>
      <c r="FC32" s="37"/>
      <c r="FD32" s="37"/>
      <c r="FE32" s="37"/>
      <c r="FF32" s="34">
        <f>Topics!S32</f>
        <v>0</v>
      </c>
      <c r="FG32" s="37"/>
      <c r="FH32" s="37"/>
      <c r="FI32" s="37"/>
      <c r="FJ32" s="37"/>
      <c r="FK32" s="37"/>
      <c r="FL32" s="37"/>
      <c r="FM32" s="37"/>
      <c r="FN32" s="37"/>
      <c r="FO32" s="37"/>
      <c r="FP32" s="34">
        <f>Topics!T32</f>
        <v>0</v>
      </c>
      <c r="FQ32" s="37"/>
      <c r="FR32" s="37"/>
      <c r="FS32" s="37"/>
      <c r="FT32" s="37"/>
      <c r="FU32" s="37"/>
      <c r="FV32" s="37"/>
      <c r="FW32" s="37"/>
      <c r="FX32" s="37"/>
      <c r="FY32" s="37"/>
      <c r="FZ32" s="33" t="str">
        <f t="shared" si="0"/>
        <v>Error</v>
      </c>
      <c r="GA32" s="225"/>
      <c r="GB32" s="77">
        <f t="shared" si="1"/>
        <v>30</v>
      </c>
      <c r="GC32" s="78">
        <f t="shared" si="2"/>
        <v>0</v>
      </c>
      <c r="GD32" s="35" t="str">
        <f>IF(Activities!D32=GC32,"OK","Error")</f>
        <v>OK</v>
      </c>
      <c r="GE32" s="78">
        <f t="shared" si="3"/>
        <v>0</v>
      </c>
      <c r="GF32" s="35" t="str">
        <f>IF(Activities!E32=GE32,"OK","Error")</f>
        <v>OK</v>
      </c>
      <c r="GG32" s="78">
        <f t="shared" si="4"/>
        <v>0</v>
      </c>
      <c r="GH32" s="35" t="str">
        <f>IF(Activities!F32=GG32,"OK","Error")</f>
        <v>OK</v>
      </c>
      <c r="GI32" s="78">
        <f t="shared" si="5"/>
        <v>0</v>
      </c>
      <c r="GJ32" s="35" t="str">
        <f>IF(Activities!G32=GI32,"OK","Error")</f>
        <v>OK</v>
      </c>
      <c r="GK32" s="78">
        <f t="shared" si="6"/>
        <v>0</v>
      </c>
      <c r="GL32" s="35" t="str">
        <f>IF(Activities!H32=GK32,"OK","Error")</f>
        <v>OK</v>
      </c>
      <c r="GM32" s="78">
        <f t="shared" si="7"/>
        <v>0</v>
      </c>
      <c r="GN32" s="35" t="str">
        <f>IF(Activities!I32=GM32,"OK","Error")</f>
        <v>OK</v>
      </c>
      <c r="GO32" s="78">
        <f t="shared" si="8"/>
        <v>0</v>
      </c>
      <c r="GP32" s="35" t="str">
        <f>IF(Activities!J32=GO32,"OK","Error")</f>
        <v>OK</v>
      </c>
      <c r="GQ32" s="78">
        <f t="shared" si="9"/>
        <v>0</v>
      </c>
      <c r="GR32" s="35" t="str">
        <f>IF(Activities!K32=GQ32,"OK","Error")</f>
        <v>OK</v>
      </c>
      <c r="GS32" s="78">
        <f t="shared" si="10"/>
        <v>0</v>
      </c>
      <c r="GT32" s="35" t="str">
        <f>IF(Activities!L32=GS32,"OK","Error")</f>
        <v>OK</v>
      </c>
      <c r="GU32" s="78">
        <f t="shared" si="11"/>
        <v>0</v>
      </c>
      <c r="GV32" s="35" t="str">
        <f>IF(Activities!M32=GU32,"OK","Error")</f>
        <v>OK</v>
      </c>
      <c r="GW32" s="78">
        <f t="shared" si="12"/>
        <v>0</v>
      </c>
      <c r="GX32" s="35" t="str">
        <f>IF(Activities!N32=GW32,"OK","Error")</f>
        <v>OK</v>
      </c>
      <c r="GY32" s="78">
        <f t="shared" si="13"/>
        <v>0</v>
      </c>
      <c r="GZ32" s="35" t="str">
        <f>IF(Activities!O32=GY32,"OK","Error")</f>
        <v>OK</v>
      </c>
      <c r="HA32" s="78">
        <f t="shared" si="14"/>
        <v>0</v>
      </c>
      <c r="HB32" s="35" t="str">
        <f>IF(Activities!P32=HA32,"OK","Error")</f>
        <v>OK</v>
      </c>
      <c r="HC32" s="78">
        <f t="shared" si="15"/>
        <v>0</v>
      </c>
      <c r="HD32" s="35" t="str">
        <f>IF(Activities!Q32=HC32,"OK","Error")</f>
        <v>OK</v>
      </c>
      <c r="HE32" s="78">
        <f t="shared" si="16"/>
        <v>0</v>
      </c>
      <c r="HF32" s="35" t="str">
        <f>IF(Activities!R32=HE32,"OK","Error")</f>
        <v>OK</v>
      </c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</row>
    <row r="33" spans="1:239" s="73" customFormat="1" ht="22.2" customHeight="1" x14ac:dyDescent="0.35">
      <c r="A33" s="187" t="s">
        <v>25</v>
      </c>
      <c r="B33" s="231" t="s">
        <v>25</v>
      </c>
      <c r="C33" s="34">
        <f t="shared" ref="C33:AH33" si="17">SUM(C3:C32)</f>
        <v>0</v>
      </c>
      <c r="D33" s="34">
        <f t="shared" si="17"/>
        <v>0</v>
      </c>
      <c r="E33" s="18">
        <f t="shared" si="17"/>
        <v>0</v>
      </c>
      <c r="F33" s="18">
        <f t="shared" si="17"/>
        <v>0</v>
      </c>
      <c r="G33" s="18">
        <f t="shared" si="17"/>
        <v>0</v>
      </c>
      <c r="H33" s="18">
        <f t="shared" si="17"/>
        <v>0</v>
      </c>
      <c r="I33" s="18">
        <f t="shared" si="17"/>
        <v>0</v>
      </c>
      <c r="J33" s="18">
        <f t="shared" si="17"/>
        <v>0</v>
      </c>
      <c r="K33" s="18">
        <f t="shared" si="17"/>
        <v>0</v>
      </c>
      <c r="L33" s="18">
        <f t="shared" si="17"/>
        <v>0</v>
      </c>
      <c r="M33" s="18">
        <f t="shared" si="17"/>
        <v>0</v>
      </c>
      <c r="N33" s="18">
        <f t="shared" si="17"/>
        <v>0</v>
      </c>
      <c r="O33" s="34">
        <f t="shared" si="17"/>
        <v>0</v>
      </c>
      <c r="P33" s="18">
        <f t="shared" si="17"/>
        <v>0</v>
      </c>
      <c r="Q33" s="18">
        <f t="shared" si="17"/>
        <v>0</v>
      </c>
      <c r="R33" s="18">
        <f t="shared" si="17"/>
        <v>0</v>
      </c>
      <c r="S33" s="18">
        <f t="shared" si="17"/>
        <v>0</v>
      </c>
      <c r="T33" s="18">
        <f t="shared" si="17"/>
        <v>0</v>
      </c>
      <c r="U33" s="18">
        <f t="shared" si="17"/>
        <v>0</v>
      </c>
      <c r="V33" s="18">
        <f t="shared" si="17"/>
        <v>0</v>
      </c>
      <c r="W33" s="18">
        <f t="shared" si="17"/>
        <v>0</v>
      </c>
      <c r="X33" s="18">
        <f t="shared" si="17"/>
        <v>0</v>
      </c>
      <c r="Y33" s="18">
        <f t="shared" si="17"/>
        <v>0</v>
      </c>
      <c r="Z33" s="34">
        <f t="shared" si="17"/>
        <v>0</v>
      </c>
      <c r="AA33" s="18">
        <f t="shared" si="17"/>
        <v>0</v>
      </c>
      <c r="AB33" s="18">
        <f t="shared" si="17"/>
        <v>0</v>
      </c>
      <c r="AC33" s="18">
        <f t="shared" si="17"/>
        <v>0</v>
      </c>
      <c r="AD33" s="18">
        <f t="shared" si="17"/>
        <v>0</v>
      </c>
      <c r="AE33" s="18">
        <f t="shared" si="17"/>
        <v>0</v>
      </c>
      <c r="AF33" s="18">
        <f t="shared" si="17"/>
        <v>0</v>
      </c>
      <c r="AG33" s="18">
        <f t="shared" si="17"/>
        <v>0</v>
      </c>
      <c r="AH33" s="18">
        <f t="shared" si="17"/>
        <v>0</v>
      </c>
      <c r="AI33" s="18">
        <f t="shared" ref="AI33:BN33" si="18">SUM(AI3:AI32)</f>
        <v>0</v>
      </c>
      <c r="AJ33" s="18">
        <f t="shared" si="18"/>
        <v>0</v>
      </c>
      <c r="AK33" s="34">
        <f t="shared" si="18"/>
        <v>0</v>
      </c>
      <c r="AL33" s="18">
        <f t="shared" si="18"/>
        <v>0</v>
      </c>
      <c r="AM33" s="18">
        <f t="shared" si="18"/>
        <v>0</v>
      </c>
      <c r="AN33" s="18">
        <f t="shared" si="18"/>
        <v>0</v>
      </c>
      <c r="AO33" s="18">
        <f t="shared" si="18"/>
        <v>0</v>
      </c>
      <c r="AP33" s="18">
        <f t="shared" si="18"/>
        <v>0</v>
      </c>
      <c r="AQ33" s="18">
        <f t="shared" si="18"/>
        <v>0</v>
      </c>
      <c r="AR33" s="18">
        <f t="shared" si="18"/>
        <v>0</v>
      </c>
      <c r="AS33" s="18">
        <f t="shared" si="18"/>
        <v>0</v>
      </c>
      <c r="AT33" s="18">
        <f t="shared" si="18"/>
        <v>0</v>
      </c>
      <c r="AU33" s="18">
        <f t="shared" si="18"/>
        <v>0</v>
      </c>
      <c r="AV33" s="34">
        <f t="shared" si="18"/>
        <v>0</v>
      </c>
      <c r="AW33" s="18">
        <f t="shared" si="18"/>
        <v>0</v>
      </c>
      <c r="AX33" s="18">
        <f t="shared" si="18"/>
        <v>0</v>
      </c>
      <c r="AY33" s="18">
        <f t="shared" si="18"/>
        <v>0</v>
      </c>
      <c r="AZ33" s="18">
        <f t="shared" si="18"/>
        <v>0</v>
      </c>
      <c r="BA33" s="18">
        <f t="shared" si="18"/>
        <v>0</v>
      </c>
      <c r="BB33" s="18">
        <f t="shared" si="18"/>
        <v>0</v>
      </c>
      <c r="BC33" s="18">
        <f t="shared" si="18"/>
        <v>0</v>
      </c>
      <c r="BD33" s="18">
        <f t="shared" si="18"/>
        <v>0</v>
      </c>
      <c r="BE33" s="18">
        <f t="shared" si="18"/>
        <v>0</v>
      </c>
      <c r="BF33" s="18">
        <f t="shared" si="18"/>
        <v>0</v>
      </c>
      <c r="BG33" s="18">
        <f t="shared" si="18"/>
        <v>0</v>
      </c>
      <c r="BH33" s="18">
        <f t="shared" si="18"/>
        <v>0</v>
      </c>
      <c r="BI33" s="18">
        <f t="shared" si="18"/>
        <v>0</v>
      </c>
      <c r="BJ33" s="34">
        <f t="shared" si="18"/>
        <v>0</v>
      </c>
      <c r="BK33" s="18">
        <f t="shared" si="18"/>
        <v>0</v>
      </c>
      <c r="BL33" s="18">
        <f t="shared" si="18"/>
        <v>0</v>
      </c>
      <c r="BM33" s="18">
        <f t="shared" si="18"/>
        <v>0</v>
      </c>
      <c r="BN33" s="18">
        <f t="shared" si="18"/>
        <v>0</v>
      </c>
      <c r="BO33" s="18">
        <f t="shared" ref="BO33:CT33" si="19">SUM(BO3:BO32)</f>
        <v>0</v>
      </c>
      <c r="BP33" s="18">
        <f t="shared" si="19"/>
        <v>0</v>
      </c>
      <c r="BQ33" s="18">
        <f t="shared" si="19"/>
        <v>0</v>
      </c>
      <c r="BR33" s="18">
        <f t="shared" si="19"/>
        <v>0</v>
      </c>
      <c r="BS33" s="18">
        <f t="shared" si="19"/>
        <v>0</v>
      </c>
      <c r="BT33" s="18">
        <f t="shared" si="19"/>
        <v>0</v>
      </c>
      <c r="BU33" s="18">
        <f t="shared" si="19"/>
        <v>0</v>
      </c>
      <c r="BV33" s="18">
        <f t="shared" si="19"/>
        <v>0</v>
      </c>
      <c r="BW33" s="18">
        <f t="shared" si="19"/>
        <v>0</v>
      </c>
      <c r="BX33" s="34">
        <f t="shared" si="19"/>
        <v>0</v>
      </c>
      <c r="BY33" s="18">
        <f t="shared" si="19"/>
        <v>0</v>
      </c>
      <c r="BZ33" s="18">
        <f t="shared" si="19"/>
        <v>0</v>
      </c>
      <c r="CA33" s="18">
        <f t="shared" si="19"/>
        <v>0</v>
      </c>
      <c r="CB33" s="18">
        <f t="shared" si="19"/>
        <v>0</v>
      </c>
      <c r="CC33" s="18">
        <f t="shared" si="19"/>
        <v>0</v>
      </c>
      <c r="CD33" s="18">
        <f t="shared" si="19"/>
        <v>0</v>
      </c>
      <c r="CE33" s="18">
        <f t="shared" si="19"/>
        <v>0</v>
      </c>
      <c r="CF33" s="18">
        <f t="shared" si="19"/>
        <v>0</v>
      </c>
      <c r="CG33" s="18">
        <f t="shared" si="19"/>
        <v>0</v>
      </c>
      <c r="CH33" s="18">
        <f t="shared" si="19"/>
        <v>0</v>
      </c>
      <c r="CI33" s="18">
        <f t="shared" si="19"/>
        <v>0</v>
      </c>
      <c r="CJ33" s="18">
        <f t="shared" si="19"/>
        <v>0</v>
      </c>
      <c r="CK33" s="18">
        <f t="shared" si="19"/>
        <v>0</v>
      </c>
      <c r="CL33" s="34">
        <f t="shared" si="19"/>
        <v>0</v>
      </c>
      <c r="CM33" s="18">
        <f t="shared" si="19"/>
        <v>0</v>
      </c>
      <c r="CN33" s="18">
        <f t="shared" si="19"/>
        <v>0</v>
      </c>
      <c r="CO33" s="18">
        <f t="shared" si="19"/>
        <v>0</v>
      </c>
      <c r="CP33" s="18">
        <f t="shared" si="19"/>
        <v>0</v>
      </c>
      <c r="CQ33" s="18">
        <f t="shared" si="19"/>
        <v>0</v>
      </c>
      <c r="CR33" s="18">
        <f t="shared" si="19"/>
        <v>0</v>
      </c>
      <c r="CS33" s="18">
        <f t="shared" si="19"/>
        <v>0</v>
      </c>
      <c r="CT33" s="18">
        <f t="shared" si="19"/>
        <v>0</v>
      </c>
      <c r="CU33" s="18">
        <f t="shared" ref="CU33:DZ33" si="20">SUM(CU3:CU32)</f>
        <v>0</v>
      </c>
      <c r="CV33" s="18">
        <f t="shared" si="20"/>
        <v>0</v>
      </c>
      <c r="CW33" s="18">
        <f t="shared" si="20"/>
        <v>0</v>
      </c>
      <c r="CX33" s="18">
        <f t="shared" si="20"/>
        <v>0</v>
      </c>
      <c r="CY33" s="18">
        <f t="shared" si="20"/>
        <v>0</v>
      </c>
      <c r="CZ33" s="34">
        <f t="shared" si="20"/>
        <v>0</v>
      </c>
      <c r="DA33" s="18">
        <f t="shared" si="20"/>
        <v>0</v>
      </c>
      <c r="DB33" s="18">
        <f t="shared" si="20"/>
        <v>0</v>
      </c>
      <c r="DC33" s="18">
        <f t="shared" si="20"/>
        <v>0</v>
      </c>
      <c r="DD33" s="18">
        <f t="shared" si="20"/>
        <v>0</v>
      </c>
      <c r="DE33" s="18">
        <f t="shared" si="20"/>
        <v>0</v>
      </c>
      <c r="DF33" s="18">
        <f t="shared" si="20"/>
        <v>0</v>
      </c>
      <c r="DG33" s="18">
        <f t="shared" si="20"/>
        <v>0</v>
      </c>
      <c r="DH33" s="18">
        <f t="shared" si="20"/>
        <v>0</v>
      </c>
      <c r="DI33" s="18">
        <f t="shared" si="20"/>
        <v>0</v>
      </c>
      <c r="DJ33" s="18">
        <f t="shared" si="20"/>
        <v>0</v>
      </c>
      <c r="DK33" s="18">
        <f t="shared" si="20"/>
        <v>0</v>
      </c>
      <c r="DL33" s="18">
        <f t="shared" si="20"/>
        <v>0</v>
      </c>
      <c r="DM33" s="18">
        <f t="shared" si="20"/>
        <v>0</v>
      </c>
      <c r="DN33" s="34">
        <f t="shared" si="20"/>
        <v>0</v>
      </c>
      <c r="DO33" s="18">
        <f t="shared" si="20"/>
        <v>0</v>
      </c>
      <c r="DP33" s="18">
        <f t="shared" si="20"/>
        <v>0</v>
      </c>
      <c r="DQ33" s="18">
        <f t="shared" si="20"/>
        <v>0</v>
      </c>
      <c r="DR33" s="18">
        <f t="shared" si="20"/>
        <v>0</v>
      </c>
      <c r="DS33" s="18">
        <f t="shared" si="20"/>
        <v>0</v>
      </c>
      <c r="DT33" s="18">
        <f t="shared" si="20"/>
        <v>0</v>
      </c>
      <c r="DU33" s="18">
        <f t="shared" si="20"/>
        <v>0</v>
      </c>
      <c r="DV33" s="18">
        <f t="shared" si="20"/>
        <v>0</v>
      </c>
      <c r="DW33" s="18">
        <f t="shared" si="20"/>
        <v>0</v>
      </c>
      <c r="DX33" s="18">
        <f t="shared" si="20"/>
        <v>0</v>
      </c>
      <c r="DY33" s="18">
        <f t="shared" si="20"/>
        <v>0</v>
      </c>
      <c r="DZ33" s="18">
        <f t="shared" si="20"/>
        <v>0</v>
      </c>
      <c r="EA33" s="18">
        <f t="shared" ref="EA33:FF33" si="21">SUM(EA3:EA32)</f>
        <v>0</v>
      </c>
      <c r="EB33" s="34">
        <f t="shared" si="21"/>
        <v>0</v>
      </c>
      <c r="EC33" s="18">
        <f t="shared" si="21"/>
        <v>0</v>
      </c>
      <c r="ED33" s="18">
        <f t="shared" si="21"/>
        <v>0</v>
      </c>
      <c r="EE33" s="18">
        <f t="shared" si="21"/>
        <v>0</v>
      </c>
      <c r="EF33" s="18">
        <f t="shared" si="21"/>
        <v>0</v>
      </c>
      <c r="EG33" s="18">
        <f t="shared" si="21"/>
        <v>0</v>
      </c>
      <c r="EH33" s="18">
        <f t="shared" si="21"/>
        <v>0</v>
      </c>
      <c r="EI33" s="18">
        <f t="shared" si="21"/>
        <v>0</v>
      </c>
      <c r="EJ33" s="18">
        <f t="shared" si="21"/>
        <v>0</v>
      </c>
      <c r="EK33" s="18">
        <f t="shared" si="21"/>
        <v>0</v>
      </c>
      <c r="EL33" s="34">
        <f t="shared" si="21"/>
        <v>0</v>
      </c>
      <c r="EM33" s="18">
        <f t="shared" si="21"/>
        <v>0</v>
      </c>
      <c r="EN33" s="18">
        <f t="shared" si="21"/>
        <v>0</v>
      </c>
      <c r="EO33" s="18">
        <f t="shared" si="21"/>
        <v>0</v>
      </c>
      <c r="EP33" s="18">
        <f t="shared" si="21"/>
        <v>0</v>
      </c>
      <c r="EQ33" s="18">
        <f t="shared" si="21"/>
        <v>0</v>
      </c>
      <c r="ER33" s="18">
        <f t="shared" si="21"/>
        <v>0</v>
      </c>
      <c r="ES33" s="18">
        <f t="shared" si="21"/>
        <v>0</v>
      </c>
      <c r="ET33" s="18">
        <f t="shared" si="21"/>
        <v>0</v>
      </c>
      <c r="EU33" s="18">
        <f t="shared" si="21"/>
        <v>0</v>
      </c>
      <c r="EV33" s="34">
        <f t="shared" si="21"/>
        <v>0</v>
      </c>
      <c r="EW33" s="18">
        <f t="shared" si="21"/>
        <v>0</v>
      </c>
      <c r="EX33" s="18">
        <f t="shared" si="21"/>
        <v>0</v>
      </c>
      <c r="EY33" s="18">
        <f t="shared" si="21"/>
        <v>0</v>
      </c>
      <c r="EZ33" s="18">
        <f t="shared" si="21"/>
        <v>0</v>
      </c>
      <c r="FA33" s="18">
        <f t="shared" si="21"/>
        <v>0</v>
      </c>
      <c r="FB33" s="18">
        <f t="shared" si="21"/>
        <v>0</v>
      </c>
      <c r="FC33" s="18">
        <f t="shared" si="21"/>
        <v>0</v>
      </c>
      <c r="FD33" s="18">
        <f t="shared" si="21"/>
        <v>0</v>
      </c>
      <c r="FE33" s="18">
        <f t="shared" si="21"/>
        <v>0</v>
      </c>
      <c r="FF33" s="34">
        <f t="shared" si="21"/>
        <v>0</v>
      </c>
      <c r="FG33" s="18">
        <f t="shared" ref="FG33:FY33" si="22">SUM(FG3:FG32)</f>
        <v>0</v>
      </c>
      <c r="FH33" s="18">
        <f t="shared" si="22"/>
        <v>0</v>
      </c>
      <c r="FI33" s="18">
        <f t="shared" si="22"/>
        <v>0</v>
      </c>
      <c r="FJ33" s="18">
        <f t="shared" si="22"/>
        <v>0</v>
      </c>
      <c r="FK33" s="18">
        <f t="shared" si="22"/>
        <v>0</v>
      </c>
      <c r="FL33" s="18">
        <f t="shared" si="22"/>
        <v>0</v>
      </c>
      <c r="FM33" s="18">
        <f t="shared" si="22"/>
        <v>0</v>
      </c>
      <c r="FN33" s="18">
        <f t="shared" si="22"/>
        <v>0</v>
      </c>
      <c r="FO33" s="18">
        <f t="shared" si="22"/>
        <v>0</v>
      </c>
      <c r="FP33" s="34">
        <f t="shared" si="22"/>
        <v>0</v>
      </c>
      <c r="FQ33" s="18">
        <f t="shared" si="22"/>
        <v>0</v>
      </c>
      <c r="FR33" s="18">
        <f t="shared" si="22"/>
        <v>0</v>
      </c>
      <c r="FS33" s="18">
        <f t="shared" si="22"/>
        <v>0</v>
      </c>
      <c r="FT33" s="18">
        <f t="shared" si="22"/>
        <v>0</v>
      </c>
      <c r="FU33" s="18">
        <f t="shared" si="22"/>
        <v>0</v>
      </c>
      <c r="FV33" s="18">
        <f t="shared" si="22"/>
        <v>0</v>
      </c>
      <c r="FW33" s="18">
        <f t="shared" si="22"/>
        <v>0</v>
      </c>
      <c r="FX33" s="18">
        <f t="shared" si="22"/>
        <v>0</v>
      </c>
      <c r="FY33" s="18">
        <f t="shared" si="22"/>
        <v>0</v>
      </c>
      <c r="FZ33" s="33" t="str">
        <f t="shared" ref="FZ33" si="23">IF(C33=SUM(E33:N33,P33:Y33,AA33:AJ33,AL33:AU33,AW33:BI33,BK33:BW33,BY33:CK33,CM33:CY33,DA33:DM33,DO33:EA33,EC33:EK33,EM33:EU33,EW33:FE33,FG33:FO33,FQ33:FY33),"Ok","Error")</f>
        <v>Ok</v>
      </c>
      <c r="GA33" s="79"/>
      <c r="GB33" s="198"/>
      <c r="GC33" s="198"/>
      <c r="GD33" s="198"/>
      <c r="GE33" s="198"/>
      <c r="GF33" s="198"/>
      <c r="GG33" s="198"/>
      <c r="GH33" s="198"/>
      <c r="GI33" s="198"/>
      <c r="GJ33" s="198"/>
      <c r="GK33" s="198"/>
      <c r="GL33" s="198"/>
      <c r="GM33" s="198"/>
      <c r="GN33" s="198"/>
      <c r="GO33" s="198"/>
      <c r="GP33" s="198"/>
      <c r="GQ33" s="198"/>
      <c r="GR33" s="198"/>
      <c r="GS33" s="198"/>
      <c r="GT33" s="198"/>
      <c r="GU33" s="198"/>
      <c r="GV33" s="198"/>
      <c r="GW33" s="198"/>
      <c r="GX33" s="198"/>
      <c r="GY33" s="198"/>
      <c r="GZ33" s="198"/>
      <c r="HA33" s="198"/>
      <c r="HB33" s="198"/>
      <c r="HC33" s="198"/>
      <c r="HD33" s="198"/>
      <c r="HE33" s="198"/>
      <c r="HF33" s="198"/>
      <c r="HG33" s="80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</row>
    <row r="34" spans="1:239" s="82" customFormat="1" ht="22.2" customHeight="1" x14ac:dyDescent="0.35">
      <c r="A34" s="228" t="s">
        <v>36</v>
      </c>
      <c r="B34" s="229"/>
      <c r="C34" s="230"/>
      <c r="D34" s="33" t="str">
        <f>IF(SUM(E33:N33)=D2,"Ok","Error")</f>
        <v>Ok</v>
      </c>
      <c r="E34" s="219" t="str">
        <f>IF(SUM(E33:N33)=D2,"Ok","Error")</f>
        <v>Ok</v>
      </c>
      <c r="F34" s="206"/>
      <c r="G34" s="206"/>
      <c r="H34" s="206"/>
      <c r="I34" s="206"/>
      <c r="J34" s="206"/>
      <c r="K34" s="206"/>
      <c r="L34" s="206"/>
      <c r="M34" s="206"/>
      <c r="N34" s="207"/>
      <c r="O34" s="33" t="str">
        <f>IF(SUM(P33:Y33)=O2,"Ok","Error")</f>
        <v>Ok</v>
      </c>
      <c r="P34" s="219" t="str">
        <f>IF(SUM(P33:Y33)=O2,"Ok","Error")</f>
        <v>Ok</v>
      </c>
      <c r="Q34" s="206"/>
      <c r="R34" s="206"/>
      <c r="S34" s="206"/>
      <c r="T34" s="206"/>
      <c r="U34" s="206"/>
      <c r="V34" s="206"/>
      <c r="W34" s="206"/>
      <c r="X34" s="206"/>
      <c r="Y34" s="207"/>
      <c r="Z34" s="33" t="str">
        <f>IF(SUM(AA33:AJ33)=Z2,"Ok","Error")</f>
        <v>Ok</v>
      </c>
      <c r="AA34" s="219" t="str">
        <f>IF(SUM(AA33:AJ33)=Z2,"Ok","Error")</f>
        <v>Ok</v>
      </c>
      <c r="AB34" s="206"/>
      <c r="AC34" s="206"/>
      <c r="AD34" s="206"/>
      <c r="AE34" s="206"/>
      <c r="AF34" s="206"/>
      <c r="AG34" s="206"/>
      <c r="AH34" s="206"/>
      <c r="AI34" s="206"/>
      <c r="AJ34" s="207"/>
      <c r="AK34" s="33" t="str">
        <f>IF(SUM(AL33:AU33)=AK2,"Ok","Error")</f>
        <v>Ok</v>
      </c>
      <c r="AL34" s="219" t="str">
        <f>IF(SUM(AL33:AU33)=AK2,"Ok","Error")</f>
        <v>Ok</v>
      </c>
      <c r="AM34" s="206"/>
      <c r="AN34" s="206"/>
      <c r="AO34" s="206"/>
      <c r="AP34" s="206"/>
      <c r="AQ34" s="206"/>
      <c r="AR34" s="206"/>
      <c r="AS34" s="206"/>
      <c r="AT34" s="206"/>
      <c r="AU34" s="207"/>
      <c r="AV34" s="33" t="str">
        <f>IF(SUM(AW33:BI33)=AV2,"Ok","Error")</f>
        <v>Ok</v>
      </c>
      <c r="AW34" s="205" t="str">
        <f>IF(SUM(AW33:BI33)=AV2,"Ok","Error")</f>
        <v>Ok</v>
      </c>
      <c r="AX34" s="206"/>
      <c r="AY34" s="206"/>
      <c r="AZ34" s="206"/>
      <c r="BA34" s="206"/>
      <c r="BB34" s="206"/>
      <c r="BC34" s="206"/>
      <c r="BD34" s="206"/>
      <c r="BE34" s="206"/>
      <c r="BF34" s="206"/>
      <c r="BG34" s="206"/>
      <c r="BH34" s="206"/>
      <c r="BI34" s="207"/>
      <c r="BJ34" s="33" t="str">
        <f>IF(SUM(BK33:BW33)=BJ2,"Ok","Error")</f>
        <v>Ok</v>
      </c>
      <c r="BK34" s="205" t="str">
        <f>IF(SUM(BK33:BW33)=BJ2,"Ok","Error")</f>
        <v>Ok</v>
      </c>
      <c r="BL34" s="206"/>
      <c r="BM34" s="206"/>
      <c r="BN34" s="206"/>
      <c r="BO34" s="206"/>
      <c r="BP34" s="206"/>
      <c r="BQ34" s="206"/>
      <c r="BR34" s="206"/>
      <c r="BS34" s="206"/>
      <c r="BT34" s="206"/>
      <c r="BU34" s="206"/>
      <c r="BV34" s="206"/>
      <c r="BW34" s="207"/>
      <c r="BX34" s="33" t="str">
        <f>IF(SUM(BY33:CK33)=BX2,"Ok","Error")</f>
        <v>Ok</v>
      </c>
      <c r="BY34" s="205" t="str">
        <f>IF(SUM(BY33:CK33)=BX2,"Ok","Error")</f>
        <v>Ok</v>
      </c>
      <c r="BZ34" s="206"/>
      <c r="CA34" s="206"/>
      <c r="CB34" s="206"/>
      <c r="CC34" s="206"/>
      <c r="CD34" s="206"/>
      <c r="CE34" s="206"/>
      <c r="CF34" s="206"/>
      <c r="CG34" s="206"/>
      <c r="CH34" s="206"/>
      <c r="CI34" s="206"/>
      <c r="CJ34" s="206"/>
      <c r="CK34" s="207"/>
      <c r="CL34" s="33" t="str">
        <f>IF(SUM(CM33:CY33)=CL2,"Ok","Error")</f>
        <v>Ok</v>
      </c>
      <c r="CM34" s="205" t="str">
        <f>IF(SUM(CM33:CY33)=CL2,"Ok","Error")</f>
        <v>Ok</v>
      </c>
      <c r="CN34" s="206"/>
      <c r="CO34" s="206"/>
      <c r="CP34" s="206"/>
      <c r="CQ34" s="206"/>
      <c r="CR34" s="206"/>
      <c r="CS34" s="206"/>
      <c r="CT34" s="206"/>
      <c r="CU34" s="206"/>
      <c r="CV34" s="206"/>
      <c r="CW34" s="206"/>
      <c r="CX34" s="206"/>
      <c r="CY34" s="207"/>
      <c r="CZ34" s="33" t="str">
        <f>IF(SUM(DA33:DM33)=CZ2,"Ok","Error")</f>
        <v>Ok</v>
      </c>
      <c r="DA34" s="205" t="str">
        <f>IF(SUM(DA33:DM33)=CZ2,"Ok","Error")</f>
        <v>Ok</v>
      </c>
      <c r="DB34" s="206"/>
      <c r="DC34" s="206"/>
      <c r="DD34" s="206"/>
      <c r="DE34" s="206"/>
      <c r="DF34" s="206"/>
      <c r="DG34" s="206"/>
      <c r="DH34" s="206"/>
      <c r="DI34" s="206"/>
      <c r="DJ34" s="206"/>
      <c r="DK34" s="206"/>
      <c r="DL34" s="206"/>
      <c r="DM34" s="207"/>
      <c r="DN34" s="33" t="str">
        <f>IF(SUM(DO33:EA33)=DN2,"Ok","Error")</f>
        <v>Ok</v>
      </c>
      <c r="DO34" s="205" t="str">
        <f>IF(SUM(DO33:EA33)=DN2,"Ok","Error")</f>
        <v>Ok</v>
      </c>
      <c r="DP34" s="206"/>
      <c r="DQ34" s="206"/>
      <c r="DR34" s="206"/>
      <c r="DS34" s="206"/>
      <c r="DT34" s="206"/>
      <c r="DU34" s="206"/>
      <c r="DV34" s="206"/>
      <c r="DW34" s="206"/>
      <c r="DX34" s="206"/>
      <c r="DY34" s="206"/>
      <c r="DZ34" s="206"/>
      <c r="EA34" s="207"/>
      <c r="EB34" s="33" t="str">
        <f>IF(SUM(EC33:EK33)=EB2,"Ok","Error")</f>
        <v>Ok</v>
      </c>
      <c r="EC34" s="205" t="str">
        <f>IF(SUM(EC33:EK33)=EB2,"Ok","Error")</f>
        <v>Ok</v>
      </c>
      <c r="ED34" s="206"/>
      <c r="EE34" s="206"/>
      <c r="EF34" s="206"/>
      <c r="EG34" s="206"/>
      <c r="EH34" s="206"/>
      <c r="EI34" s="206"/>
      <c r="EJ34" s="206"/>
      <c r="EK34" s="220"/>
      <c r="EL34" s="33" t="str">
        <f>IF(SUM(EM33:EU33)=EL2,"Ok","Error")</f>
        <v>Ok</v>
      </c>
      <c r="EM34" s="205" t="str">
        <f>IF(SUM(EM33:EU33)=EL2,"Ok","Error")</f>
        <v>Ok</v>
      </c>
      <c r="EN34" s="206"/>
      <c r="EO34" s="206"/>
      <c r="EP34" s="206"/>
      <c r="EQ34" s="206"/>
      <c r="ER34" s="206"/>
      <c r="ES34" s="206"/>
      <c r="ET34" s="206"/>
      <c r="EU34" s="207"/>
      <c r="EV34" s="33" t="str">
        <f>IF(SUM(EW33:FE33)=EV2,"Ok","Error")</f>
        <v>Ok</v>
      </c>
      <c r="EW34" s="205" t="str">
        <f>IF(SUM(EW33:FE33)=EV2,"Ok","Error")</f>
        <v>Ok</v>
      </c>
      <c r="EX34" s="206"/>
      <c r="EY34" s="206"/>
      <c r="EZ34" s="206"/>
      <c r="FA34" s="206"/>
      <c r="FB34" s="206"/>
      <c r="FC34" s="206"/>
      <c r="FD34" s="206"/>
      <c r="FE34" s="207"/>
      <c r="FF34" s="33" t="str">
        <f>IF(SUM(FG33:FO33)=FF2,"Ok","Error")</f>
        <v>Ok</v>
      </c>
      <c r="FG34" s="205" t="str">
        <f>IF(SUM(FG33:FO33)=FF2,"Ok","Error")</f>
        <v>Ok</v>
      </c>
      <c r="FH34" s="206"/>
      <c r="FI34" s="206"/>
      <c r="FJ34" s="206"/>
      <c r="FK34" s="206"/>
      <c r="FL34" s="206"/>
      <c r="FM34" s="206"/>
      <c r="FN34" s="206"/>
      <c r="FO34" s="207"/>
      <c r="FP34" s="33" t="str">
        <f>IF(SUM(FQ33:FY33)=FP2,"Ok","Error")</f>
        <v>Ok</v>
      </c>
      <c r="FQ34" s="205" t="str">
        <f>IF(SUM(FQ33:FY33)=FP2,"Ok","Error")</f>
        <v>Ok</v>
      </c>
      <c r="FR34" s="206"/>
      <c r="FS34" s="206"/>
      <c r="FT34" s="206"/>
      <c r="FU34" s="206"/>
      <c r="FV34" s="206"/>
      <c r="FW34" s="206"/>
      <c r="FX34" s="206"/>
      <c r="FY34" s="207"/>
      <c r="FZ34" s="81"/>
      <c r="GA34" s="79"/>
      <c r="GB34" s="79"/>
      <c r="GC34" s="79"/>
      <c r="GD34" s="79"/>
      <c r="GE34" s="79"/>
      <c r="GF34" s="79"/>
      <c r="GG34" s="79"/>
      <c r="GH34" s="79"/>
      <c r="GI34" s="79"/>
      <c r="GJ34" s="79"/>
      <c r="GK34" s="79"/>
      <c r="GL34" s="79"/>
      <c r="GM34" s="79"/>
      <c r="GN34" s="79"/>
      <c r="GO34" s="79"/>
      <c r="GP34" s="79"/>
      <c r="GQ34" s="79"/>
      <c r="GR34" s="79"/>
      <c r="GS34" s="79"/>
      <c r="GT34" s="79"/>
      <c r="GU34" s="79"/>
      <c r="GV34" s="79"/>
      <c r="GW34" s="79"/>
      <c r="GX34" s="79"/>
      <c r="GY34" s="79"/>
      <c r="GZ34" s="79"/>
      <c r="HA34" s="79"/>
      <c r="HB34" s="79"/>
      <c r="HC34" s="79"/>
      <c r="HD34" s="79"/>
      <c r="HE34" s="79"/>
      <c r="HF34" s="79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</row>
    <row r="35" spans="1:239" s="82" customFormat="1" ht="27" customHeight="1" x14ac:dyDescent="0.3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I35" s="80"/>
      <c r="CJ35" s="80"/>
      <c r="CK35" s="80"/>
      <c r="CL35" s="80"/>
      <c r="CM35" s="80"/>
      <c r="CN35" s="80"/>
      <c r="CO35" s="80"/>
      <c r="CP35" s="80"/>
      <c r="CQ35" s="80"/>
      <c r="CR35" s="80"/>
      <c r="CS35" s="80"/>
      <c r="CT35" s="80"/>
      <c r="CU35" s="80"/>
      <c r="CV35" s="80"/>
      <c r="CW35" s="80"/>
      <c r="CX35" s="80"/>
      <c r="CY35" s="80"/>
      <c r="CZ35" s="80"/>
      <c r="DA35" s="80"/>
      <c r="DB35" s="80"/>
      <c r="DC35" s="80"/>
      <c r="DD35" s="80"/>
      <c r="DE35" s="80"/>
      <c r="DF35" s="80"/>
      <c r="DG35" s="80"/>
      <c r="DH35" s="80"/>
      <c r="DI35" s="80"/>
      <c r="DJ35" s="80"/>
      <c r="DK35" s="80"/>
      <c r="DL35" s="80"/>
      <c r="DM35" s="80"/>
      <c r="DN35" s="80"/>
      <c r="DO35" s="80"/>
      <c r="DP35" s="80"/>
      <c r="DQ35" s="80"/>
      <c r="DR35" s="80"/>
      <c r="DS35" s="80"/>
      <c r="DT35" s="80"/>
      <c r="DU35" s="80"/>
      <c r="DV35" s="80"/>
      <c r="DW35" s="80"/>
      <c r="DX35" s="80"/>
      <c r="DY35" s="80"/>
      <c r="DZ35" s="80"/>
      <c r="EA35" s="80"/>
      <c r="EB35" s="80"/>
      <c r="EC35" s="80"/>
      <c r="ED35" s="80"/>
      <c r="EE35" s="80"/>
      <c r="EF35" s="80"/>
      <c r="EG35" s="80"/>
      <c r="EH35" s="80"/>
      <c r="EI35" s="80"/>
      <c r="EJ35" s="80"/>
      <c r="EK35" s="80"/>
      <c r="EL35" s="80"/>
      <c r="EM35" s="80"/>
      <c r="EN35" s="80"/>
      <c r="EO35" s="80"/>
      <c r="EP35" s="80"/>
      <c r="EQ35" s="80"/>
      <c r="ER35" s="80"/>
      <c r="ES35" s="80"/>
      <c r="ET35" s="80"/>
      <c r="EU35" s="80"/>
      <c r="EV35" s="80"/>
      <c r="EW35" s="80"/>
      <c r="EX35" s="80"/>
      <c r="EY35" s="80"/>
      <c r="EZ35" s="80"/>
      <c r="FA35" s="80"/>
      <c r="FB35" s="80"/>
      <c r="FC35" s="80"/>
      <c r="FD35" s="80"/>
      <c r="FE35" s="80"/>
      <c r="FF35" s="80"/>
      <c r="FG35" s="80"/>
      <c r="FH35" s="80"/>
      <c r="FI35" s="80"/>
      <c r="FJ35" s="80"/>
      <c r="FK35" s="80"/>
      <c r="FL35" s="80"/>
      <c r="FM35" s="80"/>
      <c r="FN35" s="80"/>
      <c r="FO35" s="80"/>
      <c r="FP35" s="80"/>
      <c r="FQ35" s="80"/>
      <c r="FR35" s="80"/>
      <c r="FS35" s="80"/>
      <c r="FT35" s="80"/>
      <c r="FU35" s="80"/>
      <c r="FV35" s="80"/>
      <c r="FW35" s="80"/>
      <c r="FX35" s="80"/>
      <c r="FY35" s="80"/>
      <c r="FZ35" s="80"/>
      <c r="GA35" s="215"/>
      <c r="GB35" s="215"/>
      <c r="GC35" s="215"/>
      <c r="GD35" s="215"/>
      <c r="GE35" s="215"/>
      <c r="GF35" s="215"/>
      <c r="GG35" s="80"/>
      <c r="GH35" s="80"/>
      <c r="GI35" s="80"/>
      <c r="GJ35" s="80"/>
      <c r="GK35" s="80"/>
      <c r="GL35" s="80"/>
      <c r="GM35" s="80"/>
      <c r="GN35" s="80"/>
      <c r="GO35" s="80"/>
      <c r="GP35" s="80"/>
      <c r="GQ35" s="80"/>
      <c r="GR35" s="80"/>
      <c r="GS35" s="80"/>
      <c r="GT35" s="80"/>
      <c r="GU35" s="80"/>
      <c r="GV35" s="80"/>
      <c r="GW35" s="80"/>
      <c r="GX35" s="80"/>
      <c r="GY35" s="80"/>
      <c r="GZ35" s="80"/>
      <c r="HA35" s="80"/>
      <c r="HB35" s="80"/>
      <c r="HC35" s="80"/>
      <c r="HD35" s="80"/>
      <c r="HE35" s="80"/>
      <c r="HF35" s="80"/>
      <c r="HG35" s="80"/>
      <c r="HH35" s="80"/>
      <c r="HI35" s="80"/>
      <c r="HJ35" s="80"/>
      <c r="HK35" s="80"/>
      <c r="HL35" s="80"/>
      <c r="HM35" s="80"/>
    </row>
    <row r="36" spans="1:239" s="82" customFormat="1" ht="15" customHeight="1" x14ac:dyDescent="0.3">
      <c r="A36" s="80"/>
      <c r="B36" s="83"/>
      <c r="C36" s="83"/>
      <c r="D36" s="8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4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4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4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4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4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4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4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4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4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4"/>
      <c r="EM36" s="43"/>
      <c r="EN36" s="43"/>
      <c r="EO36" s="43"/>
      <c r="EP36" s="43"/>
      <c r="EQ36" s="43"/>
      <c r="ER36" s="43"/>
      <c r="ES36" s="43"/>
      <c r="ET36" s="43"/>
      <c r="EU36" s="43"/>
      <c r="EV36" s="44"/>
      <c r="EW36" s="43"/>
      <c r="EX36" s="43"/>
      <c r="EY36" s="43"/>
      <c r="EZ36" s="43"/>
      <c r="FA36" s="43"/>
      <c r="FB36" s="43"/>
      <c r="FC36" s="43"/>
      <c r="FD36" s="43"/>
      <c r="FE36" s="43"/>
      <c r="FF36" s="44"/>
      <c r="FG36" s="43"/>
      <c r="FH36" s="43"/>
      <c r="FI36" s="43"/>
      <c r="FJ36" s="43"/>
      <c r="FK36" s="43"/>
      <c r="FL36" s="43"/>
      <c r="FM36" s="43"/>
      <c r="FN36" s="43"/>
      <c r="FO36" s="43"/>
      <c r="FP36" s="44"/>
      <c r="FQ36" s="43"/>
      <c r="FR36" s="43"/>
      <c r="FS36" s="43"/>
      <c r="FT36" s="43"/>
      <c r="FU36" s="43"/>
      <c r="FV36" s="43"/>
      <c r="FW36" s="43"/>
      <c r="FX36" s="43"/>
      <c r="FY36" s="43"/>
      <c r="FZ36" s="80"/>
      <c r="GA36" s="216"/>
      <c r="GB36" s="85" t="s">
        <v>37</v>
      </c>
      <c r="GC36" s="86" t="s">
        <v>38</v>
      </c>
      <c r="GD36" s="217" t="s">
        <v>39</v>
      </c>
      <c r="GE36" s="218"/>
      <c r="GF36" s="87"/>
      <c r="GG36" s="80"/>
      <c r="GH36" s="80"/>
      <c r="GI36" s="80"/>
      <c r="GJ36" s="80"/>
      <c r="GK36" s="80"/>
      <c r="GL36" s="80"/>
      <c r="GM36" s="80"/>
      <c r="GN36" s="80"/>
      <c r="GO36" s="80"/>
      <c r="GP36" s="80"/>
      <c r="GQ36" s="80"/>
      <c r="GR36" s="80"/>
      <c r="GS36" s="80"/>
      <c r="GT36" s="80"/>
      <c r="GU36" s="80"/>
      <c r="GV36" s="80"/>
      <c r="GW36" s="80"/>
      <c r="GX36" s="80"/>
      <c r="GY36" s="80"/>
      <c r="GZ36" s="80"/>
      <c r="HA36" s="80"/>
      <c r="HB36" s="80"/>
      <c r="HC36" s="80"/>
      <c r="HD36" s="80"/>
      <c r="HE36" s="80"/>
      <c r="HF36" s="80"/>
      <c r="HG36" s="80"/>
      <c r="HH36" s="80"/>
      <c r="HI36" s="80"/>
      <c r="HJ36" s="80"/>
      <c r="HK36" s="80"/>
      <c r="HL36" s="80"/>
      <c r="HM36" s="80"/>
    </row>
    <row r="37" spans="1:239" s="82" customFormat="1" ht="15" hidden="1" customHeight="1" x14ac:dyDescent="0.3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80"/>
      <c r="CF37" s="80"/>
      <c r="CG37" s="80"/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  <c r="CW37" s="80"/>
      <c r="CX37" s="80"/>
      <c r="CY37" s="80"/>
      <c r="CZ37" s="80"/>
      <c r="DA37" s="80"/>
      <c r="DB37" s="80"/>
      <c r="DC37" s="80"/>
      <c r="DD37" s="80"/>
      <c r="DE37" s="80"/>
      <c r="DF37" s="80"/>
      <c r="DG37" s="80"/>
      <c r="DH37" s="80"/>
      <c r="DI37" s="80"/>
      <c r="DJ37" s="80"/>
      <c r="DK37" s="80"/>
      <c r="DL37" s="80"/>
      <c r="DM37" s="80"/>
      <c r="DN37" s="80"/>
      <c r="DO37" s="80"/>
      <c r="DP37" s="80"/>
      <c r="DQ37" s="80"/>
      <c r="DR37" s="80"/>
      <c r="DS37" s="80"/>
      <c r="DT37" s="80"/>
      <c r="DU37" s="80"/>
      <c r="DV37" s="80"/>
      <c r="DW37" s="80"/>
      <c r="DX37" s="80"/>
      <c r="DY37" s="80"/>
      <c r="DZ37" s="80"/>
      <c r="EA37" s="80"/>
      <c r="EB37" s="80"/>
      <c r="EC37" s="80"/>
      <c r="ED37" s="80"/>
      <c r="EE37" s="80"/>
      <c r="EF37" s="80"/>
      <c r="EG37" s="80"/>
      <c r="EH37" s="80"/>
      <c r="EI37" s="80"/>
      <c r="EJ37" s="80"/>
      <c r="EK37" s="80"/>
      <c r="EL37" s="80"/>
      <c r="EM37" s="80"/>
      <c r="EN37" s="80"/>
      <c r="EO37" s="80"/>
      <c r="EP37" s="80"/>
      <c r="EQ37" s="80"/>
      <c r="ER37" s="80"/>
      <c r="ES37" s="80"/>
      <c r="ET37" s="80"/>
      <c r="EU37" s="80"/>
      <c r="EV37" s="80"/>
      <c r="EW37" s="80"/>
      <c r="EX37" s="80"/>
      <c r="EY37" s="80"/>
      <c r="EZ37" s="80"/>
      <c r="FA37" s="80"/>
      <c r="FB37" s="80"/>
      <c r="FC37" s="80"/>
      <c r="FD37" s="80"/>
      <c r="FE37" s="80"/>
      <c r="FF37" s="80"/>
      <c r="FG37" s="80"/>
      <c r="FH37" s="80"/>
      <c r="FI37" s="80"/>
      <c r="FJ37" s="80"/>
      <c r="FK37" s="80"/>
      <c r="FL37" s="80"/>
      <c r="FM37" s="80"/>
      <c r="FN37" s="80"/>
      <c r="FO37" s="80"/>
      <c r="FP37" s="80"/>
      <c r="FQ37" s="80"/>
      <c r="FR37" s="80"/>
      <c r="FS37" s="80"/>
      <c r="FT37" s="80"/>
      <c r="FU37" s="80"/>
      <c r="FV37" s="80"/>
      <c r="FW37" s="80"/>
      <c r="FX37" s="80"/>
      <c r="FY37" s="80"/>
      <c r="FZ37" s="80"/>
      <c r="GA37" s="216"/>
      <c r="GB37" s="88" t="str">
        <f>Exam_1</f>
        <v>First Exam</v>
      </c>
      <c r="GC37" s="17">
        <f>Exam1_1+Exam1_2+Exam1_3+Exam1_4+Exam1_5+Exam1_6+Exam1_7+Exam1_8+Exam1_9+Exam1_10</f>
        <v>0</v>
      </c>
      <c r="GD37" s="219" t="str">
        <f>IF(GC37=ACT_1,"Ok","Error")</f>
        <v>Ok</v>
      </c>
      <c r="GE37" s="220"/>
      <c r="GF37" s="89"/>
      <c r="GG37" s="80"/>
      <c r="GH37" s="80"/>
      <c r="GI37" s="80"/>
      <c r="GJ37" s="80"/>
      <c r="GK37" s="80"/>
      <c r="GL37" s="80"/>
      <c r="GM37" s="80"/>
      <c r="GN37" s="80"/>
      <c r="GO37" s="80"/>
      <c r="GP37" s="80"/>
      <c r="GQ37" s="80"/>
      <c r="GR37" s="80"/>
      <c r="GS37" s="80"/>
      <c r="GT37" s="80"/>
      <c r="GU37" s="80"/>
      <c r="GV37" s="80"/>
      <c r="GW37" s="80"/>
      <c r="GX37" s="80"/>
      <c r="GY37" s="80"/>
      <c r="GZ37" s="80"/>
      <c r="HA37" s="80"/>
      <c r="HB37" s="80"/>
      <c r="HC37" s="80"/>
      <c r="HD37" s="80"/>
      <c r="HE37" s="80"/>
      <c r="HF37" s="80"/>
      <c r="HG37" s="80"/>
      <c r="HH37" s="80"/>
      <c r="HI37" s="80"/>
      <c r="HJ37" s="80"/>
      <c r="HK37" s="80"/>
      <c r="HL37" s="80"/>
      <c r="HM37" s="80"/>
    </row>
    <row r="38" spans="1:239" s="82" customFormat="1" ht="15" hidden="1" customHeight="1" x14ac:dyDescent="0.3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80"/>
      <c r="CF38" s="80"/>
      <c r="CG38" s="80"/>
      <c r="CH38" s="80"/>
      <c r="CI38" s="80"/>
      <c r="CJ38" s="80"/>
      <c r="CK38" s="80"/>
      <c r="CL38" s="80"/>
      <c r="CM38" s="80"/>
      <c r="CN38" s="80"/>
      <c r="CO38" s="80"/>
      <c r="CP38" s="80"/>
      <c r="CQ38" s="80"/>
      <c r="CR38" s="80"/>
      <c r="CS38" s="80"/>
      <c r="CT38" s="80"/>
      <c r="CU38" s="80"/>
      <c r="CV38" s="80"/>
      <c r="CW38" s="80"/>
      <c r="CX38" s="80"/>
      <c r="CY38" s="80"/>
      <c r="CZ38" s="80"/>
      <c r="DA38" s="80"/>
      <c r="DB38" s="80"/>
      <c r="DC38" s="80"/>
      <c r="DD38" s="80"/>
      <c r="DE38" s="80"/>
      <c r="DF38" s="80"/>
      <c r="DG38" s="80"/>
      <c r="DH38" s="80"/>
      <c r="DI38" s="80"/>
      <c r="DJ38" s="80"/>
      <c r="DK38" s="80"/>
      <c r="DL38" s="80"/>
      <c r="DM38" s="80"/>
      <c r="DN38" s="80"/>
      <c r="DO38" s="80"/>
      <c r="DP38" s="80"/>
      <c r="DQ38" s="80"/>
      <c r="DR38" s="80"/>
      <c r="DS38" s="80"/>
      <c r="DT38" s="80"/>
      <c r="DU38" s="80"/>
      <c r="DV38" s="80"/>
      <c r="DW38" s="80"/>
      <c r="DX38" s="80"/>
      <c r="DY38" s="80"/>
      <c r="DZ38" s="80"/>
      <c r="EA38" s="80"/>
      <c r="EB38" s="80"/>
      <c r="EC38" s="80"/>
      <c r="ED38" s="80"/>
      <c r="EE38" s="80"/>
      <c r="EF38" s="80"/>
      <c r="EG38" s="80"/>
      <c r="EH38" s="80"/>
      <c r="EI38" s="80"/>
      <c r="EJ38" s="80"/>
      <c r="EK38" s="80"/>
      <c r="EL38" s="80"/>
      <c r="EM38" s="80"/>
      <c r="EN38" s="80"/>
      <c r="EO38" s="80"/>
      <c r="EP38" s="80"/>
      <c r="EQ38" s="80"/>
      <c r="ER38" s="80"/>
      <c r="ES38" s="80"/>
      <c r="ET38" s="80"/>
      <c r="EU38" s="80"/>
      <c r="EV38" s="80"/>
      <c r="EW38" s="80"/>
      <c r="EX38" s="80"/>
      <c r="EY38" s="80"/>
      <c r="EZ38" s="80"/>
      <c r="FA38" s="80"/>
      <c r="FB38" s="80"/>
      <c r="FC38" s="80"/>
      <c r="FD38" s="80"/>
      <c r="FE38" s="80"/>
      <c r="FF38" s="80"/>
      <c r="FG38" s="80"/>
      <c r="FH38" s="80"/>
      <c r="FI38" s="80"/>
      <c r="FJ38" s="80"/>
      <c r="FK38" s="80"/>
      <c r="FL38" s="80"/>
      <c r="FM38" s="80"/>
      <c r="FN38" s="80"/>
      <c r="FO38" s="80"/>
      <c r="FP38" s="80"/>
      <c r="FQ38" s="80"/>
      <c r="FR38" s="80"/>
      <c r="FS38" s="80"/>
      <c r="FT38" s="80"/>
      <c r="FU38" s="80"/>
      <c r="FV38" s="80"/>
      <c r="FW38" s="80"/>
      <c r="FX38" s="80"/>
      <c r="FY38" s="80"/>
      <c r="FZ38" s="80"/>
      <c r="GA38" s="216"/>
      <c r="GB38" s="90" t="str">
        <f>Exam_2</f>
        <v>Second Exam</v>
      </c>
      <c r="GC38" s="20">
        <f>Exam2_1+Exam2_2+Exam2_3+Exam2_4+Exam2_5+Exam2_6+Exam2_7+Exam2_8+Exam2_9+Exam2_10</f>
        <v>0</v>
      </c>
      <c r="GD38" s="211" t="str">
        <f>IF(GC38=ACT_2,"Ok","Error")</f>
        <v>Ok</v>
      </c>
      <c r="GE38" s="212"/>
      <c r="GF38" s="89"/>
      <c r="GG38" s="80"/>
      <c r="GH38" s="80"/>
      <c r="GI38" s="80"/>
      <c r="GJ38" s="80"/>
      <c r="GK38" s="80"/>
      <c r="GL38" s="80"/>
      <c r="GM38" s="80"/>
      <c r="GN38" s="80"/>
      <c r="GO38" s="80"/>
      <c r="GP38" s="80"/>
      <c r="GQ38" s="80"/>
      <c r="GR38" s="80"/>
      <c r="GS38" s="80"/>
      <c r="GT38" s="80"/>
      <c r="GU38" s="80"/>
      <c r="GV38" s="80"/>
      <c r="GW38" s="80"/>
      <c r="GX38" s="80"/>
      <c r="GY38" s="80"/>
      <c r="GZ38" s="80"/>
      <c r="HA38" s="80"/>
      <c r="HB38" s="80"/>
      <c r="HC38" s="80"/>
      <c r="HD38" s="80"/>
      <c r="HE38" s="80"/>
      <c r="HF38" s="80"/>
      <c r="HG38" s="80"/>
      <c r="HH38" s="80"/>
      <c r="HI38" s="80"/>
      <c r="HJ38" s="80"/>
      <c r="HK38" s="80"/>
      <c r="HL38" s="80"/>
      <c r="HM38" s="80"/>
    </row>
    <row r="39" spans="1:239" s="82" customFormat="1" ht="15" hidden="1" customHeight="1" x14ac:dyDescent="0.3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80"/>
      <c r="CF39" s="80"/>
      <c r="CG39" s="80"/>
      <c r="CH39" s="80"/>
      <c r="CI39" s="80"/>
      <c r="CJ39" s="80"/>
      <c r="CK39" s="80"/>
      <c r="CL39" s="80"/>
      <c r="CM39" s="80"/>
      <c r="CN39" s="80"/>
      <c r="CO39" s="80"/>
      <c r="CP39" s="80"/>
      <c r="CQ39" s="80"/>
      <c r="CR39" s="80"/>
      <c r="CS39" s="80"/>
      <c r="CT39" s="80"/>
      <c r="CU39" s="80"/>
      <c r="CV39" s="80"/>
      <c r="CW39" s="80"/>
      <c r="CX39" s="80"/>
      <c r="CY39" s="80"/>
      <c r="CZ39" s="80"/>
      <c r="DA39" s="80"/>
      <c r="DB39" s="80"/>
      <c r="DC39" s="80"/>
      <c r="DD39" s="80"/>
      <c r="DE39" s="80"/>
      <c r="DF39" s="80"/>
      <c r="DG39" s="80"/>
      <c r="DH39" s="80"/>
      <c r="DI39" s="80"/>
      <c r="DJ39" s="80"/>
      <c r="DK39" s="80"/>
      <c r="DL39" s="80"/>
      <c r="DM39" s="80"/>
      <c r="DN39" s="80"/>
      <c r="DO39" s="80"/>
      <c r="DP39" s="80"/>
      <c r="DQ39" s="80"/>
      <c r="DR39" s="80"/>
      <c r="DS39" s="80"/>
      <c r="DT39" s="80"/>
      <c r="DU39" s="80"/>
      <c r="DV39" s="80"/>
      <c r="DW39" s="80"/>
      <c r="DX39" s="80"/>
      <c r="DY39" s="80"/>
      <c r="DZ39" s="80"/>
      <c r="EA39" s="80"/>
      <c r="EB39" s="80"/>
      <c r="EC39" s="80"/>
      <c r="ED39" s="80"/>
      <c r="EE39" s="80"/>
      <c r="EF39" s="80"/>
      <c r="EG39" s="80"/>
      <c r="EH39" s="80"/>
      <c r="EI39" s="80"/>
      <c r="EJ39" s="80"/>
      <c r="EK39" s="80"/>
      <c r="EL39" s="80"/>
      <c r="EM39" s="80"/>
      <c r="EN39" s="80"/>
      <c r="EO39" s="80"/>
      <c r="EP39" s="80"/>
      <c r="EQ39" s="80"/>
      <c r="ER39" s="80"/>
      <c r="ES39" s="80"/>
      <c r="ET39" s="80"/>
      <c r="EU39" s="80"/>
      <c r="EV39" s="80"/>
      <c r="EW39" s="80"/>
      <c r="EX39" s="80"/>
      <c r="EY39" s="80"/>
      <c r="EZ39" s="80"/>
      <c r="FA39" s="80"/>
      <c r="FB39" s="80"/>
      <c r="FC39" s="80"/>
      <c r="FD39" s="80"/>
      <c r="FE39" s="80"/>
      <c r="FF39" s="80"/>
      <c r="FG39" s="80"/>
      <c r="FH39" s="80"/>
      <c r="FI39" s="80"/>
      <c r="FJ39" s="80"/>
      <c r="FK39" s="80"/>
      <c r="FL39" s="80"/>
      <c r="FM39" s="80"/>
      <c r="FN39" s="80"/>
      <c r="FO39" s="80"/>
      <c r="FP39" s="80"/>
      <c r="FQ39" s="80"/>
      <c r="FR39" s="80"/>
      <c r="FS39" s="80"/>
      <c r="FT39" s="80"/>
      <c r="FU39" s="80"/>
      <c r="FV39" s="80"/>
      <c r="FW39" s="80"/>
      <c r="FX39" s="80"/>
      <c r="FY39" s="80"/>
      <c r="FZ39" s="80"/>
      <c r="GA39" s="216"/>
      <c r="GB39" s="88" t="str">
        <f>Exam_3</f>
        <v>Final Exam</v>
      </c>
      <c r="GC39" s="17">
        <f>Exam3_1+Exam3_2+Exam3_3+Exam3_4+Exam3_5+Exam3_6+Exam3_7+Exam3_8+Exam3_9+Exam3_10</f>
        <v>0</v>
      </c>
      <c r="GD39" s="211" t="str">
        <f>IF(GC39=ACT_3,"Ok","Error")</f>
        <v>Ok</v>
      </c>
      <c r="GE39" s="212"/>
      <c r="GF39" s="89"/>
      <c r="GG39" s="80"/>
      <c r="GH39" s="80"/>
      <c r="GI39" s="80"/>
      <c r="GJ39" s="80"/>
      <c r="GK39" s="80"/>
      <c r="GL39" s="80"/>
      <c r="GM39" s="80"/>
      <c r="GN39" s="80"/>
      <c r="GO39" s="80"/>
      <c r="GP39" s="80"/>
      <c r="GQ39" s="80"/>
      <c r="GR39" s="80"/>
      <c r="GS39" s="80"/>
      <c r="GT39" s="80"/>
      <c r="GU39" s="80"/>
      <c r="GV39" s="80"/>
      <c r="GW39" s="80"/>
      <c r="GX39" s="80"/>
      <c r="GY39" s="80"/>
      <c r="GZ39" s="80"/>
      <c r="HA39" s="80"/>
      <c r="HB39" s="80"/>
      <c r="HC39" s="80"/>
      <c r="HD39" s="80"/>
      <c r="HE39" s="80"/>
      <c r="HF39" s="80"/>
      <c r="HG39" s="80"/>
      <c r="HH39" s="80"/>
      <c r="HI39" s="80"/>
      <c r="HJ39" s="80"/>
      <c r="HK39" s="80"/>
      <c r="HL39" s="80"/>
      <c r="HM39" s="80"/>
    </row>
    <row r="40" spans="1:239" s="82" customFormat="1" ht="15" hidden="1" customHeight="1" x14ac:dyDescent="0.3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80"/>
      <c r="CF40" s="80"/>
      <c r="CG40" s="80"/>
      <c r="CH40" s="80"/>
      <c r="CI40" s="80"/>
      <c r="CJ40" s="80"/>
      <c r="CK40" s="80"/>
      <c r="CL40" s="80"/>
      <c r="CM40" s="80"/>
      <c r="CN40" s="80"/>
      <c r="CO40" s="80"/>
      <c r="CP40" s="80"/>
      <c r="CQ40" s="80"/>
      <c r="CR40" s="80"/>
      <c r="CS40" s="80"/>
      <c r="CT40" s="80"/>
      <c r="CU40" s="80"/>
      <c r="CV40" s="80"/>
      <c r="CW40" s="80"/>
      <c r="CX40" s="80"/>
      <c r="CY40" s="80"/>
      <c r="CZ40" s="80"/>
      <c r="DA40" s="80"/>
      <c r="DB40" s="80"/>
      <c r="DC40" s="80"/>
      <c r="DD40" s="80"/>
      <c r="DE40" s="80"/>
      <c r="DF40" s="80"/>
      <c r="DG40" s="80"/>
      <c r="DH40" s="80"/>
      <c r="DI40" s="80"/>
      <c r="DJ40" s="80"/>
      <c r="DK40" s="80"/>
      <c r="DL40" s="80"/>
      <c r="DM40" s="80"/>
      <c r="DN40" s="80"/>
      <c r="DO40" s="80"/>
      <c r="DP40" s="80"/>
      <c r="DQ40" s="80"/>
      <c r="DR40" s="80"/>
      <c r="DS40" s="80"/>
      <c r="DT40" s="80"/>
      <c r="DU40" s="80"/>
      <c r="DV40" s="80"/>
      <c r="DW40" s="80"/>
      <c r="DX40" s="80"/>
      <c r="DY40" s="80"/>
      <c r="DZ40" s="80"/>
      <c r="EA40" s="80"/>
      <c r="EB40" s="80"/>
      <c r="EC40" s="80"/>
      <c r="ED40" s="80"/>
      <c r="EE40" s="80"/>
      <c r="EF40" s="80"/>
      <c r="EG40" s="80"/>
      <c r="EH40" s="80"/>
      <c r="EI40" s="80"/>
      <c r="EJ40" s="80"/>
      <c r="EK40" s="80"/>
      <c r="EL40" s="80"/>
      <c r="EM40" s="80"/>
      <c r="EN40" s="80"/>
      <c r="EO40" s="80"/>
      <c r="EP40" s="80"/>
      <c r="EQ40" s="80"/>
      <c r="ER40" s="80"/>
      <c r="ES40" s="80"/>
      <c r="ET40" s="80"/>
      <c r="EU40" s="80"/>
      <c r="EV40" s="80"/>
      <c r="EW40" s="80"/>
      <c r="EX40" s="80"/>
      <c r="EY40" s="80"/>
      <c r="EZ40" s="80"/>
      <c r="FA40" s="80"/>
      <c r="FB40" s="80"/>
      <c r="FC40" s="80"/>
      <c r="FD40" s="80"/>
      <c r="FE40" s="80"/>
      <c r="FF40" s="80"/>
      <c r="FG40" s="80"/>
      <c r="FH40" s="80"/>
      <c r="FI40" s="80"/>
      <c r="FJ40" s="80"/>
      <c r="FK40" s="80"/>
      <c r="FL40" s="80"/>
      <c r="FM40" s="80"/>
      <c r="FN40" s="80"/>
      <c r="FO40" s="80"/>
      <c r="FP40" s="80"/>
      <c r="FQ40" s="80"/>
      <c r="FR40" s="80"/>
      <c r="FS40" s="80"/>
      <c r="FT40" s="80"/>
      <c r="FU40" s="80"/>
      <c r="FV40" s="80"/>
      <c r="FW40" s="80"/>
      <c r="FX40" s="80"/>
      <c r="FY40" s="80"/>
      <c r="FZ40" s="80"/>
      <c r="GA40" s="216"/>
      <c r="GB40" s="90" t="str">
        <f>Exam_4</f>
        <v>Quizzes</v>
      </c>
      <c r="GC40" s="20">
        <f>Quiz_1+Quiz_2+Quiz_3+Quiz_4+Quiz_5+Quiz_6+Quiz_7+Quiz_8+Quiz_9+Quiz_10</f>
        <v>0</v>
      </c>
      <c r="GD40" s="211" t="str">
        <f>IF(GC40=ACT_4,"Ok","Error")</f>
        <v>Ok</v>
      </c>
      <c r="GE40" s="212"/>
      <c r="GF40" s="89"/>
      <c r="GG40" s="80"/>
      <c r="GH40" s="80"/>
      <c r="GI40" s="80"/>
      <c r="GJ40" s="80"/>
      <c r="GK40" s="80"/>
      <c r="GL40" s="80"/>
      <c r="GM40" s="80"/>
      <c r="GN40" s="80"/>
      <c r="GO40" s="80"/>
      <c r="GP40" s="80"/>
      <c r="GQ40" s="80"/>
      <c r="GR40" s="80"/>
      <c r="GS40" s="80"/>
      <c r="GT40" s="80"/>
      <c r="GU40" s="80"/>
      <c r="GV40" s="80"/>
      <c r="GW40" s="80"/>
      <c r="GX40" s="80"/>
      <c r="GY40" s="80"/>
      <c r="GZ40" s="80"/>
      <c r="HA40" s="80"/>
      <c r="HB40" s="80"/>
      <c r="HC40" s="80"/>
      <c r="HD40" s="80"/>
      <c r="HE40" s="80"/>
      <c r="HF40" s="80"/>
      <c r="HG40" s="80"/>
      <c r="HH40" s="80"/>
      <c r="HI40" s="80"/>
      <c r="HJ40" s="80"/>
      <c r="HK40" s="80"/>
      <c r="HL40" s="80"/>
      <c r="HM40" s="80"/>
    </row>
    <row r="41" spans="1:239" s="82" customFormat="1" ht="15" hidden="1" customHeight="1" x14ac:dyDescent="0.3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80"/>
      <c r="CF41" s="80"/>
      <c r="CG41" s="80"/>
      <c r="CH41" s="80"/>
      <c r="CI41" s="80"/>
      <c r="CJ41" s="80"/>
      <c r="CK41" s="80"/>
      <c r="CL41" s="80"/>
      <c r="CM41" s="80"/>
      <c r="CN41" s="80"/>
      <c r="CO41" s="80"/>
      <c r="CP41" s="80"/>
      <c r="CQ41" s="80"/>
      <c r="CR41" s="80"/>
      <c r="CS41" s="80"/>
      <c r="CT41" s="80"/>
      <c r="CU41" s="80"/>
      <c r="CV41" s="80"/>
      <c r="CW41" s="80"/>
      <c r="CX41" s="80"/>
      <c r="CY41" s="80"/>
      <c r="CZ41" s="80"/>
      <c r="DA41" s="80"/>
      <c r="DB41" s="80"/>
      <c r="DC41" s="80"/>
      <c r="DD41" s="80"/>
      <c r="DE41" s="80"/>
      <c r="DF41" s="80"/>
      <c r="DG41" s="80"/>
      <c r="DH41" s="80"/>
      <c r="DI41" s="80"/>
      <c r="DJ41" s="80"/>
      <c r="DK41" s="80"/>
      <c r="DL41" s="80"/>
      <c r="DM41" s="80"/>
      <c r="DN41" s="80"/>
      <c r="DO41" s="80"/>
      <c r="DP41" s="80"/>
      <c r="DQ41" s="80"/>
      <c r="DR41" s="80"/>
      <c r="DS41" s="80"/>
      <c r="DT41" s="80"/>
      <c r="DU41" s="80"/>
      <c r="DV41" s="80"/>
      <c r="DW41" s="80"/>
      <c r="DX41" s="80"/>
      <c r="DY41" s="80"/>
      <c r="DZ41" s="80"/>
      <c r="EA41" s="80"/>
      <c r="EB41" s="80"/>
      <c r="EC41" s="80"/>
      <c r="ED41" s="80"/>
      <c r="EE41" s="80"/>
      <c r="EF41" s="80"/>
      <c r="EG41" s="80"/>
      <c r="EH41" s="80"/>
      <c r="EI41" s="80"/>
      <c r="EJ41" s="80"/>
      <c r="EK41" s="80"/>
      <c r="EL41" s="80"/>
      <c r="EM41" s="80"/>
      <c r="EN41" s="80"/>
      <c r="EO41" s="80"/>
      <c r="EP41" s="80"/>
      <c r="EQ41" s="80"/>
      <c r="ER41" s="80"/>
      <c r="ES41" s="80"/>
      <c r="ET41" s="80"/>
      <c r="EU41" s="80"/>
      <c r="EV41" s="80"/>
      <c r="EW41" s="80"/>
      <c r="EX41" s="80"/>
      <c r="EY41" s="80"/>
      <c r="EZ41" s="80"/>
      <c r="FA41" s="80"/>
      <c r="FB41" s="80"/>
      <c r="FC41" s="80"/>
      <c r="FD41" s="80"/>
      <c r="FE41" s="80"/>
      <c r="FF41" s="80"/>
      <c r="FG41" s="80"/>
      <c r="FH41" s="80"/>
      <c r="FI41" s="80"/>
      <c r="FJ41" s="80"/>
      <c r="FK41" s="80"/>
      <c r="FL41" s="80"/>
      <c r="FM41" s="80"/>
      <c r="FN41" s="80"/>
      <c r="FO41" s="80"/>
      <c r="FP41" s="80"/>
      <c r="FQ41" s="80"/>
      <c r="FR41" s="80"/>
      <c r="FS41" s="80"/>
      <c r="FT41" s="80"/>
      <c r="FU41" s="80"/>
      <c r="FV41" s="80"/>
      <c r="FW41" s="80"/>
      <c r="FX41" s="80"/>
      <c r="FY41" s="80"/>
      <c r="FZ41" s="80"/>
      <c r="GA41" s="216"/>
      <c r="GB41" s="88" t="str">
        <f>Exam_5</f>
        <v>Final Lab</v>
      </c>
      <c r="GC41" s="17">
        <f>Lab_1+Lab_2+Lab_3+Lab_4+Lab_5+Lab_6+Lab_7+Lab_8+Lab_9+Lab_10</f>
        <v>0</v>
      </c>
      <c r="GD41" s="211" t="str">
        <f>IF(GC41=ACT_5,"Ok","Error")</f>
        <v>Ok</v>
      </c>
      <c r="GE41" s="212"/>
      <c r="GF41" s="89"/>
      <c r="GG41" s="80"/>
      <c r="GH41" s="80"/>
      <c r="GI41" s="80"/>
      <c r="GJ41" s="80"/>
      <c r="GK41" s="80"/>
      <c r="GL41" s="80"/>
      <c r="GM41" s="80"/>
      <c r="GN41" s="80"/>
      <c r="GO41" s="80"/>
      <c r="GP41" s="80"/>
      <c r="GQ41" s="80"/>
      <c r="GR41" s="80"/>
      <c r="GS41" s="80"/>
      <c r="GT41" s="80"/>
      <c r="GU41" s="80"/>
      <c r="GV41" s="80"/>
      <c r="GW41" s="80"/>
      <c r="GX41" s="80"/>
      <c r="GY41" s="80"/>
      <c r="GZ41" s="80"/>
      <c r="HA41" s="80"/>
      <c r="HB41" s="80"/>
      <c r="HC41" s="80"/>
      <c r="HD41" s="80"/>
      <c r="HE41" s="80"/>
      <c r="HF41" s="80"/>
      <c r="HG41" s="80"/>
      <c r="HH41" s="80"/>
      <c r="HI41" s="80"/>
      <c r="HJ41" s="80"/>
      <c r="HK41" s="80"/>
      <c r="HL41" s="80"/>
      <c r="HM41" s="80"/>
    </row>
    <row r="42" spans="1:239" s="82" customFormat="1" ht="15" hidden="1" customHeight="1" x14ac:dyDescent="0.3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80"/>
      <c r="CF42" s="80"/>
      <c r="CG42" s="80"/>
      <c r="CH42" s="80"/>
      <c r="CI42" s="80"/>
      <c r="CJ42" s="80"/>
      <c r="CK42" s="80"/>
      <c r="CL42" s="80"/>
      <c r="CM42" s="80"/>
      <c r="CN42" s="80"/>
      <c r="CO42" s="80"/>
      <c r="CP42" s="80"/>
      <c r="CQ42" s="80"/>
      <c r="CR42" s="80"/>
      <c r="CS42" s="80"/>
      <c r="CT42" s="80"/>
      <c r="CU42" s="80"/>
      <c r="CV42" s="80"/>
      <c r="CW42" s="80"/>
      <c r="CX42" s="80"/>
      <c r="CY42" s="80"/>
      <c r="CZ42" s="80"/>
      <c r="DA42" s="80"/>
      <c r="DB42" s="80"/>
      <c r="DC42" s="80"/>
      <c r="DD42" s="80"/>
      <c r="DE42" s="80"/>
      <c r="DF42" s="80"/>
      <c r="DG42" s="80"/>
      <c r="DH42" s="80"/>
      <c r="DI42" s="80"/>
      <c r="DJ42" s="80"/>
      <c r="DK42" s="80"/>
      <c r="DL42" s="80"/>
      <c r="DM42" s="80"/>
      <c r="DN42" s="80"/>
      <c r="DO42" s="80"/>
      <c r="DP42" s="80"/>
      <c r="DQ42" s="80"/>
      <c r="DR42" s="80"/>
      <c r="DS42" s="80"/>
      <c r="DT42" s="80"/>
      <c r="DU42" s="80"/>
      <c r="DV42" s="80"/>
      <c r="DW42" s="80"/>
      <c r="DX42" s="80"/>
      <c r="DY42" s="80"/>
      <c r="DZ42" s="80"/>
      <c r="EA42" s="80"/>
      <c r="EB42" s="80"/>
      <c r="EC42" s="80"/>
      <c r="ED42" s="80"/>
      <c r="EE42" s="80"/>
      <c r="EF42" s="80"/>
      <c r="EG42" s="80"/>
      <c r="EH42" s="80"/>
      <c r="EI42" s="80"/>
      <c r="EJ42" s="80"/>
      <c r="EK42" s="80"/>
      <c r="EL42" s="80"/>
      <c r="EM42" s="80"/>
      <c r="EN42" s="80"/>
      <c r="EO42" s="80"/>
      <c r="EP42" s="80"/>
      <c r="EQ42" s="80"/>
      <c r="ER42" s="80"/>
      <c r="ES42" s="80"/>
      <c r="ET42" s="80"/>
      <c r="EU42" s="80"/>
      <c r="EV42" s="80"/>
      <c r="EW42" s="80"/>
      <c r="EX42" s="80"/>
      <c r="EY42" s="80"/>
      <c r="EZ42" s="80"/>
      <c r="FA42" s="80"/>
      <c r="FB42" s="80"/>
      <c r="FC42" s="80"/>
      <c r="FD42" s="80"/>
      <c r="FE42" s="80"/>
      <c r="FF42" s="80"/>
      <c r="FG42" s="80"/>
      <c r="FH42" s="80"/>
      <c r="FI42" s="80"/>
      <c r="FJ42" s="80"/>
      <c r="FK42" s="80"/>
      <c r="FL42" s="80"/>
      <c r="FM42" s="80"/>
      <c r="FN42" s="80"/>
      <c r="FO42" s="80"/>
      <c r="FP42" s="80"/>
      <c r="FQ42" s="80"/>
      <c r="FR42" s="80"/>
      <c r="FS42" s="80"/>
      <c r="FT42" s="80"/>
      <c r="FU42" s="80"/>
      <c r="FV42" s="80"/>
      <c r="FW42" s="80"/>
      <c r="FX42" s="80"/>
      <c r="FY42" s="80"/>
      <c r="FZ42" s="80"/>
      <c r="GA42" s="216"/>
      <c r="GB42" s="90" t="str">
        <f>Exam_6</f>
        <v>Exam6</v>
      </c>
      <c r="GC42" s="20">
        <f>Exam6_1+Exam6_2+Exam6_3+Exam6_4+Exam6_5+Exam6_6+Exam6_7+Exam6_8+Exam6_9+Exam6_10</f>
        <v>0</v>
      </c>
      <c r="GD42" s="211" t="str">
        <f>IF(GC42=ACT_6,"Ok","Error")</f>
        <v>Ok</v>
      </c>
      <c r="GE42" s="212"/>
      <c r="GF42" s="89"/>
      <c r="GG42" s="80"/>
      <c r="GH42" s="80"/>
      <c r="GI42" s="80"/>
      <c r="GJ42" s="80"/>
      <c r="GK42" s="80"/>
      <c r="GL42" s="80"/>
      <c r="GM42" s="80"/>
      <c r="GN42" s="80"/>
      <c r="GO42" s="80"/>
      <c r="GP42" s="80"/>
      <c r="GQ42" s="80"/>
      <c r="GR42" s="80"/>
      <c r="GS42" s="80"/>
      <c r="GT42" s="80"/>
      <c r="GU42" s="80"/>
      <c r="GV42" s="80"/>
      <c r="GW42" s="80"/>
      <c r="GX42" s="80"/>
      <c r="GY42" s="80"/>
      <c r="GZ42" s="80"/>
      <c r="HA42" s="80"/>
      <c r="HB42" s="80"/>
      <c r="HC42" s="80"/>
      <c r="HD42" s="80"/>
      <c r="HE42" s="80"/>
      <c r="HF42" s="80"/>
      <c r="HG42" s="80"/>
      <c r="HH42" s="80"/>
      <c r="HI42" s="80"/>
      <c r="HJ42" s="80"/>
      <c r="HK42" s="80"/>
      <c r="HL42" s="80"/>
      <c r="HM42" s="80"/>
    </row>
    <row r="43" spans="1:239" s="82" customFormat="1" ht="15" hidden="1" customHeight="1" x14ac:dyDescent="0.3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80"/>
      <c r="CF43" s="80"/>
      <c r="CG43" s="80"/>
      <c r="CH43" s="80"/>
      <c r="CI43" s="80"/>
      <c r="CJ43" s="80"/>
      <c r="CK43" s="80"/>
      <c r="CL43" s="80"/>
      <c r="CM43" s="80"/>
      <c r="CN43" s="80"/>
      <c r="CO43" s="80"/>
      <c r="CP43" s="80"/>
      <c r="CQ43" s="80"/>
      <c r="CR43" s="80"/>
      <c r="CS43" s="80"/>
      <c r="CT43" s="80"/>
      <c r="CU43" s="80"/>
      <c r="CV43" s="80"/>
      <c r="CW43" s="80"/>
      <c r="CX43" s="80"/>
      <c r="CY43" s="80"/>
      <c r="CZ43" s="80"/>
      <c r="DA43" s="80"/>
      <c r="DB43" s="80"/>
      <c r="DC43" s="80"/>
      <c r="DD43" s="80"/>
      <c r="DE43" s="80"/>
      <c r="DF43" s="80"/>
      <c r="DG43" s="80"/>
      <c r="DH43" s="80"/>
      <c r="DI43" s="80"/>
      <c r="DJ43" s="80"/>
      <c r="DK43" s="80"/>
      <c r="DL43" s="80"/>
      <c r="DM43" s="80"/>
      <c r="DN43" s="80"/>
      <c r="DO43" s="80"/>
      <c r="DP43" s="80"/>
      <c r="DQ43" s="80"/>
      <c r="DR43" s="80"/>
      <c r="DS43" s="80"/>
      <c r="DT43" s="80"/>
      <c r="DU43" s="80"/>
      <c r="DV43" s="80"/>
      <c r="DW43" s="80"/>
      <c r="DX43" s="80"/>
      <c r="DY43" s="80"/>
      <c r="DZ43" s="80"/>
      <c r="EA43" s="80"/>
      <c r="EB43" s="80"/>
      <c r="EC43" s="80"/>
      <c r="ED43" s="80"/>
      <c r="EE43" s="80"/>
      <c r="EF43" s="80"/>
      <c r="EG43" s="80"/>
      <c r="EH43" s="80"/>
      <c r="EI43" s="80"/>
      <c r="EJ43" s="80"/>
      <c r="EK43" s="80"/>
      <c r="EL43" s="80"/>
      <c r="EM43" s="80"/>
      <c r="EN43" s="80"/>
      <c r="EO43" s="80"/>
      <c r="EP43" s="80"/>
      <c r="EQ43" s="80"/>
      <c r="ER43" s="80"/>
      <c r="ES43" s="80"/>
      <c r="ET43" s="80"/>
      <c r="EU43" s="80"/>
      <c r="EV43" s="80"/>
      <c r="EW43" s="80"/>
      <c r="EX43" s="80"/>
      <c r="EY43" s="80"/>
      <c r="EZ43" s="80"/>
      <c r="FA43" s="80"/>
      <c r="FB43" s="80"/>
      <c r="FC43" s="80"/>
      <c r="FD43" s="80"/>
      <c r="FE43" s="80"/>
      <c r="FF43" s="80"/>
      <c r="FG43" s="80"/>
      <c r="FH43" s="80"/>
      <c r="FI43" s="80"/>
      <c r="FJ43" s="80"/>
      <c r="FK43" s="80"/>
      <c r="FL43" s="80"/>
      <c r="FM43" s="80"/>
      <c r="FN43" s="80"/>
      <c r="FO43" s="80"/>
      <c r="FP43" s="80"/>
      <c r="FQ43" s="80"/>
      <c r="FR43" s="80"/>
      <c r="FS43" s="80"/>
      <c r="FT43" s="80"/>
      <c r="FU43" s="80"/>
      <c r="FV43" s="80"/>
      <c r="FW43" s="80"/>
      <c r="FX43" s="80"/>
      <c r="FY43" s="80"/>
      <c r="FZ43" s="80"/>
      <c r="GA43" s="216"/>
      <c r="GB43" s="88" t="str">
        <f>Exam_7</f>
        <v>All_1</v>
      </c>
      <c r="GC43" s="17">
        <f>All1_1+All1_2+All1_3+All1_4+All1_5+All1_6+All1_7+All1_8+All1_9+All1_10+All1_11+All1_12+All1_13+All1_14+All1_15</f>
        <v>0</v>
      </c>
      <c r="GD43" s="211" t="str">
        <f>IF(GC43=ACT_7,"Ok","Error")</f>
        <v>Ok</v>
      </c>
      <c r="GE43" s="212"/>
      <c r="GF43" s="89"/>
      <c r="GG43" s="80"/>
      <c r="GH43" s="80"/>
      <c r="GI43" s="80"/>
      <c r="GJ43" s="80"/>
      <c r="GK43" s="80"/>
      <c r="GL43" s="80"/>
      <c r="GM43" s="80"/>
      <c r="GN43" s="80"/>
      <c r="GO43" s="80"/>
      <c r="GP43" s="80"/>
      <c r="GQ43" s="80"/>
      <c r="GR43" s="80"/>
      <c r="GS43" s="80"/>
      <c r="GT43" s="80"/>
      <c r="GU43" s="80"/>
      <c r="GV43" s="80"/>
      <c r="GW43" s="80"/>
      <c r="GX43" s="80"/>
      <c r="GY43" s="80"/>
      <c r="GZ43" s="80"/>
      <c r="HA43" s="80"/>
      <c r="HB43" s="80"/>
      <c r="HC43" s="80"/>
      <c r="HD43" s="80"/>
      <c r="HE43" s="80"/>
      <c r="HF43" s="80"/>
      <c r="HG43" s="80"/>
      <c r="HH43" s="80"/>
      <c r="HI43" s="80"/>
      <c r="HJ43" s="80"/>
      <c r="HK43" s="80"/>
      <c r="HL43" s="80"/>
      <c r="HM43" s="80"/>
    </row>
    <row r="44" spans="1:239" s="82" customFormat="1" ht="15" hidden="1" customHeight="1" x14ac:dyDescent="0.3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80"/>
      <c r="CF44" s="80"/>
      <c r="CG44" s="80"/>
      <c r="CH44" s="80"/>
      <c r="CI44" s="80"/>
      <c r="CJ44" s="80"/>
      <c r="CK44" s="80"/>
      <c r="CL44" s="80"/>
      <c r="CM44" s="80"/>
      <c r="CN44" s="80"/>
      <c r="CO44" s="80"/>
      <c r="CP44" s="80"/>
      <c r="CQ44" s="80"/>
      <c r="CR44" s="80"/>
      <c r="CS44" s="80"/>
      <c r="CT44" s="80"/>
      <c r="CU44" s="80"/>
      <c r="CV44" s="80"/>
      <c r="CW44" s="80"/>
      <c r="CX44" s="80"/>
      <c r="CY44" s="80"/>
      <c r="CZ44" s="80"/>
      <c r="DA44" s="80"/>
      <c r="DB44" s="80"/>
      <c r="DC44" s="80"/>
      <c r="DD44" s="80"/>
      <c r="DE44" s="80"/>
      <c r="DF44" s="80"/>
      <c r="DG44" s="80"/>
      <c r="DH44" s="80"/>
      <c r="DI44" s="80"/>
      <c r="DJ44" s="80"/>
      <c r="DK44" s="80"/>
      <c r="DL44" s="80"/>
      <c r="DM44" s="80"/>
      <c r="DN44" s="80"/>
      <c r="DO44" s="80"/>
      <c r="DP44" s="80"/>
      <c r="DQ44" s="80"/>
      <c r="DR44" s="80"/>
      <c r="DS44" s="80"/>
      <c r="DT44" s="80"/>
      <c r="DU44" s="80"/>
      <c r="DV44" s="80"/>
      <c r="DW44" s="80"/>
      <c r="DX44" s="80"/>
      <c r="DY44" s="80"/>
      <c r="DZ44" s="80"/>
      <c r="EA44" s="80"/>
      <c r="EB44" s="80"/>
      <c r="EC44" s="80"/>
      <c r="ED44" s="80"/>
      <c r="EE44" s="80"/>
      <c r="EF44" s="80"/>
      <c r="EG44" s="80"/>
      <c r="EH44" s="80"/>
      <c r="EI44" s="80"/>
      <c r="EJ44" s="80"/>
      <c r="EK44" s="80"/>
      <c r="EL44" s="80"/>
      <c r="EM44" s="80"/>
      <c r="EN44" s="80"/>
      <c r="EO44" s="80"/>
      <c r="EP44" s="80"/>
      <c r="EQ44" s="80"/>
      <c r="ER44" s="80"/>
      <c r="ES44" s="80"/>
      <c r="ET44" s="80"/>
      <c r="EU44" s="80"/>
      <c r="EV44" s="80"/>
      <c r="EW44" s="80"/>
      <c r="EX44" s="80"/>
      <c r="EY44" s="80"/>
      <c r="EZ44" s="80"/>
      <c r="FA44" s="80"/>
      <c r="FB44" s="80"/>
      <c r="FC44" s="80"/>
      <c r="FD44" s="80"/>
      <c r="FE44" s="80"/>
      <c r="FF44" s="80"/>
      <c r="FG44" s="80"/>
      <c r="FH44" s="80"/>
      <c r="FI44" s="80"/>
      <c r="FJ44" s="80"/>
      <c r="FK44" s="80"/>
      <c r="FL44" s="80"/>
      <c r="FM44" s="80"/>
      <c r="FN44" s="80"/>
      <c r="FO44" s="80"/>
      <c r="FP44" s="80"/>
      <c r="FQ44" s="80"/>
      <c r="FR44" s="80"/>
      <c r="FS44" s="80"/>
      <c r="FT44" s="80"/>
      <c r="FU44" s="80"/>
      <c r="FV44" s="80"/>
      <c r="FW44" s="80"/>
      <c r="FX44" s="80"/>
      <c r="FY44" s="80"/>
      <c r="FZ44" s="80"/>
      <c r="GA44" s="216"/>
      <c r="GB44" s="90" t="str">
        <f>Exam_8</f>
        <v>All_2</v>
      </c>
      <c r="GC44" s="20">
        <f>All2_1+All2_2+All2_3+All2_4+All2_5+All2_6+All2_7+All2_8+All2_9+All2_10+All2_11+All2_12+All2_13+All2_14+All2_15</f>
        <v>0</v>
      </c>
      <c r="GD44" s="211" t="str">
        <f>IF(GC44=ACT_8,"Ok","Error")</f>
        <v>Ok</v>
      </c>
      <c r="GE44" s="212"/>
      <c r="GF44" s="89"/>
      <c r="GG44" s="80"/>
      <c r="GH44" s="80"/>
      <c r="GI44" s="80"/>
      <c r="GJ44" s="80"/>
      <c r="GK44" s="80"/>
      <c r="GL44" s="80"/>
      <c r="GM44" s="80"/>
      <c r="GN44" s="80"/>
      <c r="GO44" s="80"/>
      <c r="GP44" s="80"/>
      <c r="GQ44" s="80"/>
      <c r="GR44" s="80"/>
      <c r="GS44" s="80"/>
      <c r="GT44" s="80"/>
      <c r="GU44" s="80"/>
      <c r="GV44" s="80"/>
      <c r="GW44" s="80"/>
      <c r="GX44" s="80"/>
      <c r="GY44" s="80"/>
      <c r="GZ44" s="80"/>
      <c r="HA44" s="80"/>
      <c r="HB44" s="80"/>
      <c r="HC44" s="80"/>
      <c r="HD44" s="80"/>
      <c r="HE44" s="80"/>
      <c r="HF44" s="80"/>
      <c r="HG44" s="80"/>
      <c r="HH44" s="80"/>
      <c r="HI44" s="80"/>
      <c r="HJ44" s="80"/>
      <c r="HK44" s="80"/>
      <c r="HL44" s="80"/>
      <c r="HM44" s="80"/>
    </row>
    <row r="45" spans="1:239" s="82" customFormat="1" ht="15" hidden="1" customHeight="1" x14ac:dyDescent="0.3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80"/>
      <c r="CF45" s="80"/>
      <c r="CG45" s="80"/>
      <c r="CH45" s="80"/>
      <c r="CI45" s="80"/>
      <c r="CJ45" s="80"/>
      <c r="CK45" s="80"/>
      <c r="CL45" s="80"/>
      <c r="CM45" s="80"/>
      <c r="CN45" s="80"/>
      <c r="CO45" s="80"/>
      <c r="CP45" s="80"/>
      <c r="CQ45" s="80"/>
      <c r="CR45" s="80"/>
      <c r="CS45" s="80"/>
      <c r="CT45" s="80"/>
      <c r="CU45" s="80"/>
      <c r="CV45" s="80"/>
      <c r="CW45" s="80"/>
      <c r="CX45" s="80"/>
      <c r="CY45" s="80"/>
      <c r="CZ45" s="80"/>
      <c r="DA45" s="80"/>
      <c r="DB45" s="80"/>
      <c r="DC45" s="80"/>
      <c r="DD45" s="80"/>
      <c r="DE45" s="80"/>
      <c r="DF45" s="80"/>
      <c r="DG45" s="80"/>
      <c r="DH45" s="80"/>
      <c r="DI45" s="80"/>
      <c r="DJ45" s="80"/>
      <c r="DK45" s="80"/>
      <c r="DL45" s="80"/>
      <c r="DM45" s="80"/>
      <c r="DN45" s="80"/>
      <c r="DO45" s="80"/>
      <c r="DP45" s="80"/>
      <c r="DQ45" s="80"/>
      <c r="DR45" s="80"/>
      <c r="DS45" s="80"/>
      <c r="DT45" s="80"/>
      <c r="DU45" s="80"/>
      <c r="DV45" s="80"/>
      <c r="DW45" s="80"/>
      <c r="DX45" s="80"/>
      <c r="DY45" s="80"/>
      <c r="DZ45" s="80"/>
      <c r="EA45" s="80"/>
      <c r="EB45" s="80"/>
      <c r="EC45" s="80"/>
      <c r="ED45" s="80"/>
      <c r="EE45" s="80"/>
      <c r="EF45" s="80"/>
      <c r="EG45" s="80"/>
      <c r="EH45" s="80"/>
      <c r="EI45" s="80"/>
      <c r="EJ45" s="80"/>
      <c r="EK45" s="80"/>
      <c r="EL45" s="80"/>
      <c r="EM45" s="80"/>
      <c r="EN45" s="80"/>
      <c r="EO45" s="80"/>
      <c r="EP45" s="80"/>
      <c r="EQ45" s="80"/>
      <c r="ER45" s="80"/>
      <c r="ES45" s="80"/>
      <c r="ET45" s="80"/>
      <c r="EU45" s="80"/>
      <c r="EV45" s="80"/>
      <c r="EW45" s="80"/>
      <c r="EX45" s="80"/>
      <c r="EY45" s="80"/>
      <c r="EZ45" s="80"/>
      <c r="FA45" s="80"/>
      <c r="FB45" s="80"/>
      <c r="FC45" s="80"/>
      <c r="FD45" s="80"/>
      <c r="FE45" s="80"/>
      <c r="FF45" s="80"/>
      <c r="FG45" s="80"/>
      <c r="FH45" s="80"/>
      <c r="FI45" s="80"/>
      <c r="FJ45" s="80"/>
      <c r="FK45" s="80"/>
      <c r="FL45" s="80"/>
      <c r="FM45" s="80"/>
      <c r="FN45" s="80"/>
      <c r="FO45" s="80"/>
      <c r="FP45" s="80"/>
      <c r="FQ45" s="80"/>
      <c r="FR45" s="80"/>
      <c r="FS45" s="80"/>
      <c r="FT45" s="80"/>
      <c r="FU45" s="80"/>
      <c r="FV45" s="80"/>
      <c r="FW45" s="80"/>
      <c r="FX45" s="80"/>
      <c r="FY45" s="80"/>
      <c r="FZ45" s="80"/>
      <c r="GA45" s="216"/>
      <c r="GB45" s="88" t="str">
        <f>Exam_9</f>
        <v>All_3</v>
      </c>
      <c r="GC45" s="17">
        <f>All3_1+All3_2+All3_3+All3_4+All3_5+All3_6+All3_7+All3_8+All3_9+All3_10+All3_11+All3_12+All3_13+All3_14+All3_15</f>
        <v>0</v>
      </c>
      <c r="GD45" s="211" t="str">
        <f>IF(GC45=ACT_9,"Ok","Error")</f>
        <v>Ok</v>
      </c>
      <c r="GE45" s="212"/>
      <c r="GF45" s="89"/>
      <c r="GG45" s="80"/>
      <c r="GH45" s="80"/>
      <c r="GI45" s="80"/>
      <c r="GJ45" s="80"/>
      <c r="GK45" s="80"/>
      <c r="GL45" s="80"/>
      <c r="GM45" s="80"/>
      <c r="GN45" s="80"/>
      <c r="GO45" s="80"/>
      <c r="GP45" s="80"/>
      <c r="GQ45" s="80"/>
      <c r="GR45" s="80"/>
      <c r="GS45" s="80"/>
      <c r="GT45" s="80"/>
      <c r="GU45" s="80"/>
      <c r="GV45" s="80"/>
      <c r="GW45" s="80"/>
      <c r="GX45" s="80"/>
      <c r="GY45" s="80"/>
      <c r="GZ45" s="80"/>
      <c r="HA45" s="80"/>
      <c r="HB45" s="80"/>
      <c r="HC45" s="80"/>
      <c r="HD45" s="80"/>
      <c r="HE45" s="80"/>
      <c r="HF45" s="80"/>
      <c r="HG45" s="80"/>
      <c r="HH45" s="80"/>
      <c r="HI45" s="80"/>
      <c r="HJ45" s="80"/>
      <c r="HK45" s="80"/>
      <c r="HL45" s="80"/>
      <c r="HM45" s="80"/>
    </row>
    <row r="46" spans="1:239" s="82" customFormat="1" ht="15" hidden="1" customHeight="1" x14ac:dyDescent="0.3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80"/>
      <c r="CF46" s="80"/>
      <c r="CG46" s="80"/>
      <c r="CH46" s="80"/>
      <c r="CI46" s="80"/>
      <c r="CJ46" s="80"/>
      <c r="CK46" s="80"/>
      <c r="CL46" s="80"/>
      <c r="CM46" s="80"/>
      <c r="CN46" s="80"/>
      <c r="CO46" s="80"/>
      <c r="CP46" s="80"/>
      <c r="CQ46" s="80"/>
      <c r="CR46" s="80"/>
      <c r="CS46" s="80"/>
      <c r="CT46" s="80"/>
      <c r="CU46" s="80"/>
      <c r="CV46" s="80"/>
      <c r="CW46" s="80"/>
      <c r="CX46" s="80"/>
      <c r="CY46" s="80"/>
      <c r="CZ46" s="80"/>
      <c r="DA46" s="80"/>
      <c r="DB46" s="80"/>
      <c r="DC46" s="80"/>
      <c r="DD46" s="80"/>
      <c r="DE46" s="80"/>
      <c r="DF46" s="80"/>
      <c r="DG46" s="80"/>
      <c r="DH46" s="80"/>
      <c r="DI46" s="80"/>
      <c r="DJ46" s="80"/>
      <c r="DK46" s="80"/>
      <c r="DL46" s="80"/>
      <c r="DM46" s="80"/>
      <c r="DN46" s="80"/>
      <c r="DO46" s="80"/>
      <c r="DP46" s="80"/>
      <c r="DQ46" s="80"/>
      <c r="DR46" s="80"/>
      <c r="DS46" s="80"/>
      <c r="DT46" s="80"/>
      <c r="DU46" s="80"/>
      <c r="DV46" s="80"/>
      <c r="DW46" s="80"/>
      <c r="DX46" s="80"/>
      <c r="DY46" s="80"/>
      <c r="DZ46" s="80"/>
      <c r="EA46" s="80"/>
      <c r="EB46" s="80"/>
      <c r="EC46" s="80"/>
      <c r="ED46" s="80"/>
      <c r="EE46" s="80"/>
      <c r="EF46" s="80"/>
      <c r="EG46" s="80"/>
      <c r="EH46" s="80"/>
      <c r="EI46" s="80"/>
      <c r="EJ46" s="80"/>
      <c r="EK46" s="80"/>
      <c r="EL46" s="80"/>
      <c r="EM46" s="80"/>
      <c r="EN46" s="80"/>
      <c r="EO46" s="80"/>
      <c r="EP46" s="80"/>
      <c r="EQ46" s="80"/>
      <c r="ER46" s="80"/>
      <c r="ES46" s="80"/>
      <c r="ET46" s="80"/>
      <c r="EU46" s="80"/>
      <c r="EV46" s="80"/>
      <c r="EW46" s="80"/>
      <c r="EX46" s="80"/>
      <c r="EY46" s="80"/>
      <c r="EZ46" s="80"/>
      <c r="FA46" s="80"/>
      <c r="FB46" s="80"/>
      <c r="FC46" s="80"/>
      <c r="FD46" s="80"/>
      <c r="FE46" s="80"/>
      <c r="FF46" s="80"/>
      <c r="FG46" s="80"/>
      <c r="FH46" s="80"/>
      <c r="FI46" s="80"/>
      <c r="FJ46" s="80"/>
      <c r="FK46" s="80"/>
      <c r="FL46" s="80"/>
      <c r="FM46" s="80"/>
      <c r="FN46" s="80"/>
      <c r="FO46" s="80"/>
      <c r="FP46" s="80"/>
      <c r="FQ46" s="80"/>
      <c r="FR46" s="80"/>
      <c r="FS46" s="80"/>
      <c r="FT46" s="80"/>
      <c r="FU46" s="80"/>
      <c r="FV46" s="80"/>
      <c r="FW46" s="80"/>
      <c r="FX46" s="80"/>
      <c r="FY46" s="80"/>
      <c r="FZ46" s="80"/>
      <c r="GA46" s="216"/>
      <c r="GB46" s="90" t="str">
        <f>Exam_10</f>
        <v>All_4</v>
      </c>
      <c r="GC46" s="20">
        <f>All4_1+All4_2+All4_3+All4_4+All4_5+All4_6+All4_7+All4_8+All4_9+All4_10+All4_11+All4_12+All4_13+All4_14+All4_15</f>
        <v>0</v>
      </c>
      <c r="GD46" s="211" t="str">
        <f>IF(GC46=ACT_10,"Ok","Error")</f>
        <v>Ok</v>
      </c>
      <c r="GE46" s="212"/>
      <c r="GF46" s="89"/>
      <c r="GG46" s="80"/>
      <c r="GH46" s="80"/>
      <c r="GI46" s="80"/>
      <c r="GJ46" s="80"/>
      <c r="GK46" s="80"/>
      <c r="GL46" s="80"/>
      <c r="GM46" s="80"/>
      <c r="GN46" s="80"/>
      <c r="GO46" s="80"/>
      <c r="GP46" s="80"/>
      <c r="GQ46" s="80"/>
      <c r="GR46" s="80"/>
      <c r="GS46" s="80"/>
      <c r="GT46" s="80"/>
      <c r="GU46" s="80"/>
      <c r="GV46" s="80"/>
      <c r="GW46" s="80"/>
      <c r="GX46" s="80"/>
      <c r="GY46" s="80"/>
      <c r="GZ46" s="80"/>
      <c r="HA46" s="80"/>
      <c r="HB46" s="80"/>
      <c r="HC46" s="80"/>
      <c r="HD46" s="80"/>
      <c r="HE46" s="80"/>
      <c r="HF46" s="80"/>
      <c r="HG46" s="80"/>
      <c r="HH46" s="80"/>
      <c r="HI46" s="80"/>
      <c r="HJ46" s="80"/>
      <c r="HK46" s="80"/>
      <c r="HL46" s="80"/>
      <c r="HM46" s="80"/>
    </row>
    <row r="47" spans="1:239" s="82" customFormat="1" ht="15" hidden="1" customHeight="1" x14ac:dyDescent="0.3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80"/>
      <c r="CF47" s="80"/>
      <c r="CG47" s="80"/>
      <c r="CH47" s="80"/>
      <c r="CI47" s="80"/>
      <c r="CJ47" s="80"/>
      <c r="CK47" s="80"/>
      <c r="CL47" s="80"/>
      <c r="CM47" s="80"/>
      <c r="CN47" s="80"/>
      <c r="CO47" s="80"/>
      <c r="CP47" s="80"/>
      <c r="CQ47" s="80"/>
      <c r="CR47" s="80"/>
      <c r="CS47" s="80"/>
      <c r="CT47" s="80"/>
      <c r="CU47" s="80"/>
      <c r="CV47" s="80"/>
      <c r="CW47" s="80"/>
      <c r="CX47" s="80"/>
      <c r="CY47" s="80"/>
      <c r="CZ47" s="80"/>
      <c r="DA47" s="80"/>
      <c r="DB47" s="80"/>
      <c r="DC47" s="80"/>
      <c r="DD47" s="80"/>
      <c r="DE47" s="80"/>
      <c r="DF47" s="80"/>
      <c r="DG47" s="80"/>
      <c r="DH47" s="80"/>
      <c r="DI47" s="80"/>
      <c r="DJ47" s="80"/>
      <c r="DK47" s="80"/>
      <c r="DL47" s="80"/>
      <c r="DM47" s="80"/>
      <c r="DN47" s="80"/>
      <c r="DO47" s="80"/>
      <c r="DP47" s="80"/>
      <c r="DQ47" s="80"/>
      <c r="DR47" s="80"/>
      <c r="DS47" s="80"/>
      <c r="DT47" s="80"/>
      <c r="DU47" s="80"/>
      <c r="DV47" s="80"/>
      <c r="DW47" s="80"/>
      <c r="DX47" s="80"/>
      <c r="DY47" s="80"/>
      <c r="DZ47" s="80"/>
      <c r="EA47" s="80"/>
      <c r="EB47" s="80"/>
      <c r="EC47" s="80"/>
      <c r="ED47" s="80"/>
      <c r="EE47" s="80"/>
      <c r="EF47" s="80"/>
      <c r="EG47" s="80"/>
      <c r="EH47" s="80"/>
      <c r="EI47" s="80"/>
      <c r="EJ47" s="80"/>
      <c r="EK47" s="80"/>
      <c r="EL47" s="80"/>
      <c r="EM47" s="80"/>
      <c r="EN47" s="80"/>
      <c r="EO47" s="80"/>
      <c r="EP47" s="80"/>
      <c r="EQ47" s="80"/>
      <c r="ER47" s="80"/>
      <c r="ES47" s="80"/>
      <c r="ET47" s="80"/>
      <c r="EU47" s="80"/>
      <c r="EV47" s="80"/>
      <c r="EW47" s="80"/>
      <c r="EX47" s="80"/>
      <c r="EY47" s="80"/>
      <c r="EZ47" s="80"/>
      <c r="FA47" s="80"/>
      <c r="FB47" s="80"/>
      <c r="FC47" s="80"/>
      <c r="FD47" s="80"/>
      <c r="FE47" s="80"/>
      <c r="FF47" s="80"/>
      <c r="FG47" s="80"/>
      <c r="FH47" s="80"/>
      <c r="FI47" s="80"/>
      <c r="FJ47" s="80"/>
      <c r="FK47" s="80"/>
      <c r="FL47" s="80"/>
      <c r="FM47" s="80"/>
      <c r="FN47" s="80"/>
      <c r="FO47" s="80"/>
      <c r="FP47" s="80"/>
      <c r="FQ47" s="80"/>
      <c r="FR47" s="80"/>
      <c r="FS47" s="80"/>
      <c r="FT47" s="80"/>
      <c r="FU47" s="80"/>
      <c r="FV47" s="80"/>
      <c r="FW47" s="80"/>
      <c r="FX47" s="80"/>
      <c r="FY47" s="80"/>
      <c r="FZ47" s="80"/>
      <c r="GA47" s="216"/>
      <c r="GB47" s="88" t="str">
        <f>Exam_11</f>
        <v>Assignments</v>
      </c>
      <c r="GC47" s="17">
        <f>Assign_1+Assign_2+Assign_3+Assign_4+Assign_5+Assign_6+Assign_7+Assign_8+Assign_9+Assign_10+Assign_11</f>
        <v>0</v>
      </c>
      <c r="GD47" s="211" t="str">
        <f>IF(GC47=ACT_11,"Ok","Error")</f>
        <v>Ok</v>
      </c>
      <c r="GE47" s="212"/>
      <c r="GF47" s="89"/>
      <c r="GG47" s="80"/>
      <c r="GH47" s="80"/>
      <c r="GI47" s="80"/>
      <c r="GJ47" s="80"/>
      <c r="GK47" s="80"/>
      <c r="GL47" s="80"/>
      <c r="GM47" s="80"/>
      <c r="GN47" s="80"/>
      <c r="GO47" s="80"/>
      <c r="GP47" s="80"/>
      <c r="GQ47" s="80"/>
      <c r="GR47" s="80"/>
      <c r="GS47" s="80"/>
      <c r="GT47" s="80"/>
      <c r="GU47" s="80"/>
      <c r="GV47" s="80"/>
      <c r="GW47" s="80"/>
      <c r="GX47" s="80"/>
      <c r="GY47" s="80"/>
      <c r="GZ47" s="80"/>
      <c r="HA47" s="80"/>
      <c r="HB47" s="80"/>
      <c r="HC47" s="80"/>
      <c r="HD47" s="80"/>
      <c r="HE47" s="80"/>
      <c r="HF47" s="80"/>
      <c r="HG47" s="80"/>
      <c r="HH47" s="80"/>
      <c r="HI47" s="80"/>
      <c r="HJ47" s="80"/>
      <c r="HK47" s="80"/>
      <c r="HL47" s="80"/>
      <c r="HM47" s="80"/>
    </row>
    <row r="48" spans="1:239" s="82" customFormat="1" ht="15" hidden="1" customHeight="1" x14ac:dyDescent="0.3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80"/>
      <c r="CF48" s="80"/>
      <c r="CG48" s="80"/>
      <c r="CH48" s="80"/>
      <c r="CI48" s="80"/>
      <c r="CJ48" s="80"/>
      <c r="CK48" s="80"/>
      <c r="CL48" s="80"/>
      <c r="CM48" s="80"/>
      <c r="CN48" s="80"/>
      <c r="CO48" s="80"/>
      <c r="CP48" s="80"/>
      <c r="CQ48" s="80"/>
      <c r="CR48" s="80"/>
      <c r="CS48" s="80"/>
      <c r="CT48" s="80"/>
      <c r="CU48" s="80"/>
      <c r="CV48" s="80"/>
      <c r="CW48" s="80"/>
      <c r="CX48" s="80"/>
      <c r="CY48" s="80"/>
      <c r="CZ48" s="80"/>
      <c r="DA48" s="80"/>
      <c r="DB48" s="80"/>
      <c r="DC48" s="80"/>
      <c r="DD48" s="80"/>
      <c r="DE48" s="80"/>
      <c r="DF48" s="80"/>
      <c r="DG48" s="80"/>
      <c r="DH48" s="80"/>
      <c r="DI48" s="80"/>
      <c r="DJ48" s="80"/>
      <c r="DK48" s="80"/>
      <c r="DL48" s="80"/>
      <c r="DM48" s="80"/>
      <c r="DN48" s="80"/>
      <c r="DO48" s="80"/>
      <c r="DP48" s="80"/>
      <c r="DQ48" s="80"/>
      <c r="DR48" s="80"/>
      <c r="DS48" s="80"/>
      <c r="DT48" s="80"/>
      <c r="DU48" s="80"/>
      <c r="DV48" s="80"/>
      <c r="DW48" s="80"/>
      <c r="DX48" s="80"/>
      <c r="DY48" s="80"/>
      <c r="DZ48" s="80"/>
      <c r="EA48" s="80"/>
      <c r="EB48" s="80"/>
      <c r="EC48" s="80"/>
      <c r="ED48" s="80"/>
      <c r="EE48" s="80"/>
      <c r="EF48" s="80"/>
      <c r="EG48" s="80"/>
      <c r="EH48" s="80"/>
      <c r="EI48" s="80"/>
      <c r="EJ48" s="80"/>
      <c r="EK48" s="80"/>
      <c r="EL48" s="80"/>
      <c r="EM48" s="80"/>
      <c r="EN48" s="80"/>
      <c r="EO48" s="80"/>
      <c r="EP48" s="80"/>
      <c r="EQ48" s="80"/>
      <c r="ER48" s="80"/>
      <c r="ES48" s="80"/>
      <c r="ET48" s="80"/>
      <c r="EU48" s="80"/>
      <c r="EV48" s="80"/>
      <c r="EW48" s="80"/>
      <c r="EX48" s="80"/>
      <c r="EY48" s="80"/>
      <c r="EZ48" s="80"/>
      <c r="FA48" s="80"/>
      <c r="FB48" s="80"/>
      <c r="FC48" s="80"/>
      <c r="FD48" s="80"/>
      <c r="FE48" s="80"/>
      <c r="FF48" s="80"/>
      <c r="FG48" s="80"/>
      <c r="FH48" s="80"/>
      <c r="FI48" s="80"/>
      <c r="FJ48" s="80"/>
      <c r="FK48" s="80"/>
      <c r="FL48" s="80"/>
      <c r="FM48" s="80"/>
      <c r="FN48" s="80"/>
      <c r="FO48" s="80"/>
      <c r="FP48" s="80"/>
      <c r="FQ48" s="80"/>
      <c r="FR48" s="80"/>
      <c r="FS48" s="80"/>
      <c r="FT48" s="80"/>
      <c r="FU48" s="80"/>
      <c r="FV48" s="80"/>
      <c r="FW48" s="80"/>
      <c r="FX48" s="80"/>
      <c r="FY48" s="80"/>
      <c r="FZ48" s="80"/>
      <c r="GA48" s="216"/>
      <c r="GB48" s="90" t="str">
        <f>Exam_12</f>
        <v>Reports</v>
      </c>
      <c r="GC48" s="20">
        <f>Report_1+Report_2+Report_3+Report_4+Report_5+Report_6+Report_7+Report_8+Report_9+Report_10+Report_11</f>
        <v>0</v>
      </c>
      <c r="GD48" s="211" t="str">
        <f>IF(GC48=ACT_12,"Ok","Error")</f>
        <v>Ok</v>
      </c>
      <c r="GE48" s="212"/>
      <c r="GF48" s="89"/>
      <c r="GG48" s="80"/>
      <c r="GH48" s="80"/>
      <c r="GI48" s="80"/>
      <c r="GJ48" s="80"/>
      <c r="GK48" s="80"/>
      <c r="GL48" s="80"/>
      <c r="GM48" s="80"/>
      <c r="GN48" s="80"/>
      <c r="GO48" s="80"/>
      <c r="GP48" s="80"/>
      <c r="GQ48" s="80"/>
      <c r="GR48" s="80"/>
      <c r="GS48" s="80"/>
      <c r="GT48" s="80"/>
      <c r="GU48" s="80"/>
      <c r="GV48" s="80"/>
      <c r="GW48" s="80"/>
      <c r="GX48" s="80"/>
      <c r="GY48" s="80"/>
      <c r="GZ48" s="80"/>
      <c r="HA48" s="80"/>
      <c r="HB48" s="80"/>
      <c r="HC48" s="80"/>
      <c r="HD48" s="80"/>
      <c r="HE48" s="80"/>
      <c r="HF48" s="80"/>
      <c r="HG48" s="80"/>
      <c r="HH48" s="80"/>
      <c r="HI48" s="80"/>
      <c r="HJ48" s="80"/>
      <c r="HK48" s="80"/>
      <c r="HL48" s="80"/>
      <c r="HM48" s="80"/>
    </row>
    <row r="49" spans="1:221" s="82" customFormat="1" ht="15" hidden="1" customHeight="1" x14ac:dyDescent="0.3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80"/>
      <c r="CF49" s="80"/>
      <c r="CG49" s="80"/>
      <c r="CH49" s="80"/>
      <c r="CI49" s="80"/>
      <c r="CJ49" s="80"/>
      <c r="CK49" s="80"/>
      <c r="CL49" s="80"/>
      <c r="CM49" s="80"/>
      <c r="CN49" s="80"/>
      <c r="CO49" s="80"/>
      <c r="CP49" s="80"/>
      <c r="CQ49" s="80"/>
      <c r="CR49" s="80"/>
      <c r="CS49" s="80"/>
      <c r="CT49" s="80"/>
      <c r="CU49" s="80"/>
      <c r="CV49" s="80"/>
      <c r="CW49" s="80"/>
      <c r="CX49" s="80"/>
      <c r="CY49" s="80"/>
      <c r="CZ49" s="80"/>
      <c r="DA49" s="80"/>
      <c r="DB49" s="80"/>
      <c r="DC49" s="80"/>
      <c r="DD49" s="80"/>
      <c r="DE49" s="80"/>
      <c r="DF49" s="80"/>
      <c r="DG49" s="80"/>
      <c r="DH49" s="80"/>
      <c r="DI49" s="80"/>
      <c r="DJ49" s="80"/>
      <c r="DK49" s="80"/>
      <c r="DL49" s="80"/>
      <c r="DM49" s="80"/>
      <c r="DN49" s="80"/>
      <c r="DO49" s="80"/>
      <c r="DP49" s="80"/>
      <c r="DQ49" s="80"/>
      <c r="DR49" s="80"/>
      <c r="DS49" s="80"/>
      <c r="DT49" s="80"/>
      <c r="DU49" s="80"/>
      <c r="DV49" s="80"/>
      <c r="DW49" s="80"/>
      <c r="DX49" s="80"/>
      <c r="DY49" s="80"/>
      <c r="DZ49" s="80"/>
      <c r="EA49" s="80"/>
      <c r="EB49" s="80"/>
      <c r="EC49" s="80"/>
      <c r="ED49" s="80"/>
      <c r="EE49" s="80"/>
      <c r="EF49" s="80"/>
      <c r="EG49" s="80"/>
      <c r="EH49" s="80"/>
      <c r="EI49" s="80"/>
      <c r="EJ49" s="80"/>
      <c r="EK49" s="80"/>
      <c r="EL49" s="80"/>
      <c r="EM49" s="80"/>
      <c r="EN49" s="80"/>
      <c r="EO49" s="80"/>
      <c r="EP49" s="80"/>
      <c r="EQ49" s="80"/>
      <c r="ER49" s="80"/>
      <c r="ES49" s="80"/>
      <c r="ET49" s="80"/>
      <c r="EU49" s="80"/>
      <c r="EV49" s="80"/>
      <c r="EW49" s="80"/>
      <c r="EX49" s="80"/>
      <c r="EY49" s="80"/>
      <c r="EZ49" s="80"/>
      <c r="FA49" s="80"/>
      <c r="FB49" s="80"/>
      <c r="FC49" s="80"/>
      <c r="FD49" s="80"/>
      <c r="FE49" s="80"/>
      <c r="FF49" s="80"/>
      <c r="FG49" s="80"/>
      <c r="FH49" s="80"/>
      <c r="FI49" s="80"/>
      <c r="FJ49" s="80"/>
      <c r="FK49" s="80"/>
      <c r="FL49" s="80"/>
      <c r="FM49" s="80"/>
      <c r="FN49" s="80"/>
      <c r="FO49" s="80"/>
      <c r="FP49" s="80"/>
      <c r="FQ49" s="80"/>
      <c r="FR49" s="80"/>
      <c r="FS49" s="80"/>
      <c r="FT49" s="80"/>
      <c r="FU49" s="80"/>
      <c r="FV49" s="80"/>
      <c r="FW49" s="80"/>
      <c r="FX49" s="80"/>
      <c r="FY49" s="80"/>
      <c r="FZ49" s="80"/>
      <c r="GA49" s="216"/>
      <c r="GB49" s="88" t="str">
        <f>Exam_13</f>
        <v>Presentation</v>
      </c>
      <c r="GC49" s="17">
        <f>Present_1+Present_2+Present_3+Present_4+Present_5+Present_6+Present_7+Present_8+Present_9+Present_10+Present_11</f>
        <v>0</v>
      </c>
      <c r="GD49" s="211" t="str">
        <f>IF(GC49=ACT_13,"Ok","Error")</f>
        <v>Ok</v>
      </c>
      <c r="GE49" s="212"/>
      <c r="GF49" s="89"/>
      <c r="GG49" s="80"/>
      <c r="GH49" s="80"/>
      <c r="GI49" s="80"/>
      <c r="GJ49" s="80"/>
      <c r="GK49" s="80"/>
      <c r="GL49" s="80"/>
      <c r="GM49" s="80"/>
      <c r="GN49" s="80"/>
      <c r="GO49" s="80"/>
      <c r="GP49" s="80"/>
      <c r="GQ49" s="80"/>
      <c r="GR49" s="80"/>
      <c r="GS49" s="80"/>
      <c r="GT49" s="80"/>
      <c r="GU49" s="80"/>
      <c r="GV49" s="80"/>
      <c r="GW49" s="80"/>
      <c r="GX49" s="80"/>
      <c r="GY49" s="80"/>
      <c r="GZ49" s="80"/>
      <c r="HA49" s="80"/>
      <c r="HB49" s="80"/>
      <c r="HC49" s="80"/>
      <c r="HD49" s="80"/>
      <c r="HE49" s="80"/>
      <c r="HF49" s="80"/>
      <c r="HG49" s="80"/>
      <c r="HH49" s="80"/>
      <c r="HI49" s="80"/>
      <c r="HJ49" s="80"/>
      <c r="HK49" s="80"/>
      <c r="HL49" s="80"/>
      <c r="HM49" s="80"/>
    </row>
    <row r="50" spans="1:221" s="82" customFormat="1" ht="15" hidden="1" customHeight="1" x14ac:dyDescent="0.3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80"/>
      <c r="CF50" s="80"/>
      <c r="CG50" s="80"/>
      <c r="CH50" s="80"/>
      <c r="CI50" s="80"/>
      <c r="CJ50" s="80"/>
      <c r="CK50" s="80"/>
      <c r="CL50" s="80"/>
      <c r="CM50" s="80"/>
      <c r="CN50" s="80"/>
      <c r="CO50" s="80"/>
      <c r="CP50" s="80"/>
      <c r="CQ50" s="80"/>
      <c r="CR50" s="80"/>
      <c r="CS50" s="80"/>
      <c r="CT50" s="80"/>
      <c r="CU50" s="80"/>
      <c r="CV50" s="80"/>
      <c r="CW50" s="80"/>
      <c r="CX50" s="80"/>
      <c r="CY50" s="80"/>
      <c r="CZ50" s="80"/>
      <c r="DA50" s="80"/>
      <c r="DB50" s="80"/>
      <c r="DC50" s="80"/>
      <c r="DD50" s="80"/>
      <c r="DE50" s="80"/>
      <c r="DF50" s="80"/>
      <c r="DG50" s="80"/>
      <c r="DH50" s="80"/>
      <c r="DI50" s="80"/>
      <c r="DJ50" s="80"/>
      <c r="DK50" s="80"/>
      <c r="DL50" s="80"/>
      <c r="DM50" s="80"/>
      <c r="DN50" s="80"/>
      <c r="DO50" s="80"/>
      <c r="DP50" s="80"/>
      <c r="DQ50" s="80"/>
      <c r="DR50" s="80"/>
      <c r="DS50" s="80"/>
      <c r="DT50" s="80"/>
      <c r="DU50" s="80"/>
      <c r="DV50" s="80"/>
      <c r="DW50" s="80"/>
      <c r="DX50" s="80"/>
      <c r="DY50" s="80"/>
      <c r="DZ50" s="80"/>
      <c r="EA50" s="80"/>
      <c r="EB50" s="80"/>
      <c r="EC50" s="80"/>
      <c r="ED50" s="80"/>
      <c r="EE50" s="80"/>
      <c r="EF50" s="80"/>
      <c r="EG50" s="80"/>
      <c r="EH50" s="80"/>
      <c r="EI50" s="80"/>
      <c r="EJ50" s="80"/>
      <c r="EK50" s="80"/>
      <c r="EL50" s="80"/>
      <c r="EM50" s="80"/>
      <c r="EN50" s="80"/>
      <c r="EO50" s="80"/>
      <c r="EP50" s="80"/>
      <c r="EQ50" s="80"/>
      <c r="ER50" s="80"/>
      <c r="ES50" s="80"/>
      <c r="ET50" s="80"/>
      <c r="EU50" s="80"/>
      <c r="EV50" s="80"/>
      <c r="EW50" s="80"/>
      <c r="EX50" s="80"/>
      <c r="EY50" s="80"/>
      <c r="EZ50" s="80"/>
      <c r="FA50" s="80"/>
      <c r="FB50" s="80"/>
      <c r="FC50" s="80"/>
      <c r="FD50" s="80"/>
      <c r="FE50" s="80"/>
      <c r="FF50" s="80"/>
      <c r="FG50" s="80"/>
      <c r="FH50" s="80"/>
      <c r="FI50" s="80"/>
      <c r="FJ50" s="80"/>
      <c r="FK50" s="80"/>
      <c r="FL50" s="80"/>
      <c r="FM50" s="80"/>
      <c r="FN50" s="80"/>
      <c r="FO50" s="80"/>
      <c r="FP50" s="80"/>
      <c r="FQ50" s="80"/>
      <c r="FR50" s="80"/>
      <c r="FS50" s="80"/>
      <c r="FT50" s="80"/>
      <c r="FU50" s="80"/>
      <c r="FV50" s="80"/>
      <c r="FW50" s="80"/>
      <c r="FX50" s="80"/>
      <c r="FY50" s="80"/>
      <c r="FZ50" s="80"/>
      <c r="GA50" s="216"/>
      <c r="GB50" s="90" t="str">
        <f>Exam_14</f>
        <v>Project</v>
      </c>
      <c r="GC50" s="20">
        <f>Project_1+Project_2+Project_3+Project_4+Project_5</f>
        <v>0</v>
      </c>
      <c r="GD50" s="211" t="str">
        <f>IF(GC50=ACT_14,"Ok","Error")</f>
        <v>Ok</v>
      </c>
      <c r="GE50" s="212"/>
      <c r="GF50" s="89"/>
      <c r="GG50" s="80"/>
      <c r="GH50" s="80"/>
      <c r="GI50" s="80"/>
      <c r="GJ50" s="80"/>
      <c r="GK50" s="80"/>
      <c r="GL50" s="80"/>
      <c r="GM50" s="80"/>
      <c r="GN50" s="80"/>
      <c r="GO50" s="80"/>
      <c r="GP50" s="80"/>
      <c r="GQ50" s="80"/>
      <c r="GR50" s="80"/>
      <c r="GS50" s="80"/>
      <c r="GT50" s="80"/>
      <c r="GU50" s="80"/>
      <c r="GV50" s="80"/>
      <c r="GW50" s="80"/>
      <c r="GX50" s="80"/>
      <c r="GY50" s="80"/>
      <c r="GZ50" s="80"/>
      <c r="HA50" s="80"/>
      <c r="HB50" s="80"/>
      <c r="HC50" s="80"/>
      <c r="HD50" s="80"/>
      <c r="HE50" s="80"/>
      <c r="HF50" s="80"/>
      <c r="HG50" s="80"/>
      <c r="HH50" s="80"/>
      <c r="HI50" s="80"/>
      <c r="HJ50" s="80"/>
      <c r="HK50" s="80"/>
      <c r="HL50" s="80"/>
      <c r="HM50" s="80"/>
    </row>
    <row r="51" spans="1:221" s="82" customFormat="1" ht="15" hidden="1" customHeight="1" x14ac:dyDescent="0.3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80"/>
      <c r="CF51" s="80"/>
      <c r="CG51" s="80"/>
      <c r="CH51" s="80"/>
      <c r="CI51" s="80"/>
      <c r="CJ51" s="80"/>
      <c r="CK51" s="80"/>
      <c r="CL51" s="80"/>
      <c r="CM51" s="80"/>
      <c r="CN51" s="80"/>
      <c r="CO51" s="80"/>
      <c r="CP51" s="80"/>
      <c r="CQ51" s="80"/>
      <c r="CR51" s="80"/>
      <c r="CS51" s="80"/>
      <c r="CT51" s="80"/>
      <c r="CU51" s="80"/>
      <c r="CV51" s="80"/>
      <c r="CW51" s="80"/>
      <c r="CX51" s="80"/>
      <c r="CY51" s="80"/>
      <c r="CZ51" s="80"/>
      <c r="DA51" s="80"/>
      <c r="DB51" s="80"/>
      <c r="DC51" s="80"/>
      <c r="DD51" s="80"/>
      <c r="DE51" s="80"/>
      <c r="DF51" s="80"/>
      <c r="DG51" s="80"/>
      <c r="DH51" s="80"/>
      <c r="DI51" s="80"/>
      <c r="DJ51" s="80"/>
      <c r="DK51" s="80"/>
      <c r="DL51" s="80"/>
      <c r="DM51" s="80"/>
      <c r="DN51" s="80"/>
      <c r="DO51" s="80"/>
      <c r="DP51" s="80"/>
      <c r="DQ51" s="80"/>
      <c r="DR51" s="80"/>
      <c r="DS51" s="80"/>
      <c r="DT51" s="80"/>
      <c r="DU51" s="80"/>
      <c r="DV51" s="80"/>
      <c r="DW51" s="80"/>
      <c r="DX51" s="80"/>
      <c r="DY51" s="80"/>
      <c r="DZ51" s="80"/>
      <c r="EA51" s="80"/>
      <c r="EB51" s="80"/>
      <c r="EC51" s="80"/>
      <c r="ED51" s="80"/>
      <c r="EE51" s="80"/>
      <c r="EF51" s="80"/>
      <c r="EG51" s="80"/>
      <c r="EH51" s="80"/>
      <c r="EI51" s="80"/>
      <c r="EJ51" s="80"/>
      <c r="EK51" s="80"/>
      <c r="EL51" s="80"/>
      <c r="EM51" s="80"/>
      <c r="EN51" s="80"/>
      <c r="EO51" s="80"/>
      <c r="EP51" s="80"/>
      <c r="EQ51" s="80"/>
      <c r="ER51" s="80"/>
      <c r="ES51" s="80"/>
      <c r="ET51" s="80"/>
      <c r="EU51" s="80"/>
      <c r="EV51" s="80"/>
      <c r="EW51" s="80"/>
      <c r="EX51" s="80"/>
      <c r="EY51" s="80"/>
      <c r="EZ51" s="80"/>
      <c r="FA51" s="80"/>
      <c r="FB51" s="80"/>
      <c r="FC51" s="80"/>
      <c r="FD51" s="80"/>
      <c r="FE51" s="80"/>
      <c r="FF51" s="80"/>
      <c r="FG51" s="80"/>
      <c r="FH51" s="80"/>
      <c r="FI51" s="80"/>
      <c r="FJ51" s="80"/>
      <c r="FK51" s="80"/>
      <c r="FL51" s="80"/>
      <c r="FM51" s="80"/>
      <c r="FN51" s="80"/>
      <c r="FO51" s="80"/>
      <c r="FP51" s="80"/>
      <c r="FQ51" s="80"/>
      <c r="FR51" s="80"/>
      <c r="FS51" s="80"/>
      <c r="FT51" s="80"/>
      <c r="FU51" s="80"/>
      <c r="FV51" s="80"/>
      <c r="FW51" s="80"/>
      <c r="FX51" s="80"/>
      <c r="FY51" s="80"/>
      <c r="FZ51" s="80"/>
      <c r="GA51" s="216"/>
      <c r="GB51" s="88" t="str">
        <f>Exam_15</f>
        <v>Oral Presentation</v>
      </c>
      <c r="GC51" s="17">
        <f>Oral_1+Oral_2+Oral_3+Oral_4+Oral_5</f>
        <v>0</v>
      </c>
      <c r="GD51" s="211" t="str">
        <f>IF(GC51=ACT_15,"Ok","Error")</f>
        <v>Ok</v>
      </c>
      <c r="GE51" s="212"/>
      <c r="GF51" s="89"/>
      <c r="GG51" s="80"/>
      <c r="GH51" s="80"/>
      <c r="GI51" s="80"/>
      <c r="GJ51" s="80"/>
      <c r="GK51" s="80"/>
      <c r="GL51" s="80"/>
      <c r="GM51" s="80"/>
      <c r="GN51" s="80"/>
      <c r="GO51" s="80"/>
      <c r="GP51" s="80"/>
      <c r="GQ51" s="80"/>
      <c r="GR51" s="80"/>
      <c r="GS51" s="80"/>
      <c r="GT51" s="80"/>
      <c r="GU51" s="80"/>
      <c r="GV51" s="80"/>
      <c r="GW51" s="80"/>
      <c r="GX51" s="80"/>
      <c r="GY51" s="80"/>
      <c r="GZ51" s="80"/>
      <c r="HA51" s="80"/>
      <c r="HB51" s="80"/>
      <c r="HC51" s="80"/>
      <c r="HD51" s="80"/>
      <c r="HE51" s="80"/>
      <c r="HF51" s="80"/>
      <c r="HG51" s="80"/>
      <c r="HH51" s="80"/>
      <c r="HI51" s="80"/>
      <c r="HJ51" s="80"/>
      <c r="HK51" s="80"/>
      <c r="HL51" s="80"/>
      <c r="HM51" s="80"/>
    </row>
    <row r="52" spans="1:221" hidden="1" x14ac:dyDescent="0.3">
      <c r="HG52" s="80"/>
      <c r="HH52" s="80"/>
      <c r="HI52" s="80"/>
      <c r="HJ52" s="80"/>
      <c r="HK52" s="80"/>
      <c r="HL52" s="80"/>
      <c r="HM52" s="80"/>
    </row>
  </sheetData>
  <sheetProtection algorithmName="SHA-512" hashValue="sqBMlX6PirO+MqM3E3vQearaRUSsSSoWXlEzNhECVRdid1S1RQwQkzvu99nnJP57rcktYw141CKvyHFl2bOXPg==" saltValue="ao/69o2ZDrrBQo5DBeJtug==" spinCount="100000" sheet="1" objects="1" scenarios="1" selectLockedCells="1"/>
  <mergeCells count="72">
    <mergeCell ref="A34:C34"/>
    <mergeCell ref="A33:B33"/>
    <mergeCell ref="A1:A2"/>
    <mergeCell ref="EC1:EK1"/>
    <mergeCell ref="GQ1:GR2"/>
    <mergeCell ref="EW34:FE34"/>
    <mergeCell ref="EC34:EK34"/>
    <mergeCell ref="FG34:FO34"/>
    <mergeCell ref="FQ34:FY34"/>
    <mergeCell ref="E34:N34"/>
    <mergeCell ref="P34:Y34"/>
    <mergeCell ref="AA34:AJ34"/>
    <mergeCell ref="AL34:AU34"/>
    <mergeCell ref="AW34:BI34"/>
    <mergeCell ref="AL1:AU1"/>
    <mergeCell ref="BK1:BW1"/>
    <mergeCell ref="EW1:FE1"/>
    <mergeCell ref="FQ1:FY1"/>
    <mergeCell ref="B1:B2"/>
    <mergeCell ref="C1:C2"/>
    <mergeCell ref="GE1:GF2"/>
    <mergeCell ref="E1:N1"/>
    <mergeCell ref="DA1:DM1"/>
    <mergeCell ref="AW1:BI1"/>
    <mergeCell ref="EM1:EU1"/>
    <mergeCell ref="FG1:FO1"/>
    <mergeCell ref="P1:Y1"/>
    <mergeCell ref="AA1:AJ1"/>
    <mergeCell ref="FZ1:FZ2"/>
    <mergeCell ref="GA1:GA32"/>
    <mergeCell ref="GB1:GB2"/>
    <mergeCell ref="BY1:CK1"/>
    <mergeCell ref="GD44:GE44"/>
    <mergeCell ref="GD45:GE45"/>
    <mergeCell ref="GD50:GE50"/>
    <mergeCell ref="GD46:GE46"/>
    <mergeCell ref="GD48:GE48"/>
    <mergeCell ref="GD49:GE49"/>
    <mergeCell ref="GD51:GE51"/>
    <mergeCell ref="GD47:GE47"/>
    <mergeCell ref="GG1:GH2"/>
    <mergeCell ref="GK1:GL2"/>
    <mergeCell ref="GD41:GE41"/>
    <mergeCell ref="GC1:GD2"/>
    <mergeCell ref="GD43:GE43"/>
    <mergeCell ref="GA35:GF35"/>
    <mergeCell ref="GA36:GA51"/>
    <mergeCell ref="GD36:GE36"/>
    <mergeCell ref="GD37:GE37"/>
    <mergeCell ref="GI1:GJ2"/>
    <mergeCell ref="GD42:GE42"/>
    <mergeCell ref="GD38:GE38"/>
    <mergeCell ref="GD39:GE39"/>
    <mergeCell ref="GD40:GE40"/>
    <mergeCell ref="EM34:EU34"/>
    <mergeCell ref="CM34:CY34"/>
    <mergeCell ref="DO1:EA1"/>
    <mergeCell ref="BK34:BW34"/>
    <mergeCell ref="BY34:CK34"/>
    <mergeCell ref="CM1:CY1"/>
    <mergeCell ref="DA34:DM34"/>
    <mergeCell ref="DO34:EA34"/>
    <mergeCell ref="GB33:HF33"/>
    <mergeCell ref="GU1:GV2"/>
    <mergeCell ref="HE1:HF2"/>
    <mergeCell ref="GW1:GX2"/>
    <mergeCell ref="GY1:GZ2"/>
    <mergeCell ref="HA1:HB2"/>
    <mergeCell ref="HC1:HD2"/>
    <mergeCell ref="GM1:GN2"/>
    <mergeCell ref="GO1:GP2"/>
    <mergeCell ref="GS1:GT2"/>
  </mergeCells>
  <conditionalFormatting sqref="FZ3:FZ33">
    <cfRule type="expression" dxfId="52" priority="67" stopIfTrue="1">
      <formula>FZ3="Ok"</formula>
    </cfRule>
  </conditionalFormatting>
  <conditionalFormatting sqref="FZ3:FZ33">
    <cfRule type="expression" dxfId="51" priority="68" stopIfTrue="1">
      <formula>AND(FZ3&lt;&gt;"",FZ3&lt;&gt;"Ok")</formula>
    </cfRule>
  </conditionalFormatting>
  <conditionalFormatting sqref="D34:FY34">
    <cfRule type="expression" dxfId="50" priority="69" stopIfTrue="1">
      <formula>D34="Ok"</formula>
    </cfRule>
  </conditionalFormatting>
  <conditionalFormatting sqref="D34:FY34">
    <cfRule type="expression" dxfId="49" priority="70" stopIfTrue="1">
      <formula>AND(D34&lt;&gt;"",D34&lt;&gt;"Ok")</formula>
    </cfRule>
  </conditionalFormatting>
  <conditionalFormatting sqref="GD3:GD32">
    <cfRule type="expression" dxfId="48" priority="71" stopIfTrue="1">
      <formula>GD3="Ok"</formula>
    </cfRule>
  </conditionalFormatting>
  <conditionalFormatting sqref="GD3:GD32">
    <cfRule type="expression" dxfId="47" priority="72" stopIfTrue="1">
      <formula>AND(GD3&lt;&gt;"",GD3&lt;&gt;"Ok")</formula>
    </cfRule>
  </conditionalFormatting>
  <conditionalFormatting sqref="GF3:GF32">
    <cfRule type="expression" dxfId="46" priority="73" stopIfTrue="1">
      <formula>GF3="Ok"</formula>
    </cfRule>
  </conditionalFormatting>
  <conditionalFormatting sqref="GF3:GF32">
    <cfRule type="expression" dxfId="45" priority="74" stopIfTrue="1">
      <formula>AND(GF3&lt;&gt;"",GF3&lt;&gt;"Ok")</formula>
    </cfRule>
  </conditionalFormatting>
  <conditionalFormatting sqref="GH3:GH32">
    <cfRule type="expression" dxfId="44" priority="75" stopIfTrue="1">
      <formula>GH3="Ok"</formula>
    </cfRule>
  </conditionalFormatting>
  <conditionalFormatting sqref="GH3:GH32">
    <cfRule type="expression" dxfId="43" priority="76" stopIfTrue="1">
      <formula>AND(GH3&lt;&gt;"",GH3&lt;&gt;"Ok")</formula>
    </cfRule>
  </conditionalFormatting>
  <conditionalFormatting sqref="GJ3:GJ32">
    <cfRule type="expression" dxfId="42" priority="77" stopIfTrue="1">
      <formula>GJ3="Ok"</formula>
    </cfRule>
  </conditionalFormatting>
  <conditionalFormatting sqref="GJ3:GJ32">
    <cfRule type="expression" dxfId="41" priority="78" stopIfTrue="1">
      <formula>AND(GJ3&lt;&gt;"",GJ3&lt;&gt;"Ok")</formula>
    </cfRule>
  </conditionalFormatting>
  <conditionalFormatting sqref="GL3:GL32">
    <cfRule type="expression" dxfId="40" priority="79" stopIfTrue="1">
      <formula>GL3="Ok"</formula>
    </cfRule>
  </conditionalFormatting>
  <conditionalFormatting sqref="GL3:GL32">
    <cfRule type="expression" dxfId="39" priority="80" stopIfTrue="1">
      <formula>AND(GL3&lt;&gt;"",GL3&lt;&gt;"Ok")</formula>
    </cfRule>
  </conditionalFormatting>
  <conditionalFormatting sqref="GN3:GN32">
    <cfRule type="expression" dxfId="38" priority="81" stopIfTrue="1">
      <formula>GN3="Ok"</formula>
    </cfRule>
  </conditionalFormatting>
  <conditionalFormatting sqref="GN3:GN32">
    <cfRule type="expression" dxfId="37" priority="82" stopIfTrue="1">
      <formula>AND(GN3&lt;&gt;"",GN3&lt;&gt;"Ok")</formula>
    </cfRule>
  </conditionalFormatting>
  <conditionalFormatting sqref="GP3:GP32">
    <cfRule type="expression" dxfId="36" priority="83" stopIfTrue="1">
      <formula>GP3="Ok"</formula>
    </cfRule>
  </conditionalFormatting>
  <conditionalFormatting sqref="GP3:GP32">
    <cfRule type="expression" dxfId="35" priority="84" stopIfTrue="1">
      <formula>AND(GP3&lt;&gt;"",GP3&lt;&gt;"Ok")</formula>
    </cfRule>
  </conditionalFormatting>
  <conditionalFormatting sqref="GR3:GR32">
    <cfRule type="expression" dxfId="34" priority="85" stopIfTrue="1">
      <formula>GR3="Ok"</formula>
    </cfRule>
  </conditionalFormatting>
  <conditionalFormatting sqref="GR3:GR32">
    <cfRule type="expression" dxfId="33" priority="86" stopIfTrue="1">
      <formula>AND(GR3&lt;&gt;"",GR3&lt;&gt;"Ok")</formula>
    </cfRule>
  </conditionalFormatting>
  <conditionalFormatting sqref="GT3:GT32">
    <cfRule type="expression" dxfId="32" priority="87" stopIfTrue="1">
      <formula>GT3="Ok"</formula>
    </cfRule>
  </conditionalFormatting>
  <conditionalFormatting sqref="GT3:GT32">
    <cfRule type="expression" dxfId="31" priority="88" stopIfTrue="1">
      <formula>AND(GT3&lt;&gt;"",GT3&lt;&gt;"Ok")</formula>
    </cfRule>
  </conditionalFormatting>
  <conditionalFormatting sqref="GV3:GV32">
    <cfRule type="expression" dxfId="30" priority="89" stopIfTrue="1">
      <formula>GV3="Ok"</formula>
    </cfRule>
  </conditionalFormatting>
  <conditionalFormatting sqref="GV3:GV32">
    <cfRule type="expression" dxfId="29" priority="90" stopIfTrue="1">
      <formula>AND(GV3&lt;&gt;"",GV3&lt;&gt;"Ok")</formula>
    </cfRule>
  </conditionalFormatting>
  <conditionalFormatting sqref="GX3:GX32">
    <cfRule type="expression" dxfId="28" priority="91" stopIfTrue="1">
      <formula>GX3="Ok"</formula>
    </cfRule>
  </conditionalFormatting>
  <conditionalFormatting sqref="GX3:GX32">
    <cfRule type="expression" dxfId="27" priority="92" stopIfTrue="1">
      <formula>AND(GX3&lt;&gt;"",GX3&lt;&gt;"Ok")</formula>
    </cfRule>
  </conditionalFormatting>
  <conditionalFormatting sqref="GZ3:GZ32">
    <cfRule type="expression" dxfId="26" priority="93" stopIfTrue="1">
      <formula>GZ3="Ok"</formula>
    </cfRule>
  </conditionalFormatting>
  <conditionalFormatting sqref="GZ3:GZ32">
    <cfRule type="expression" dxfId="25" priority="94" stopIfTrue="1">
      <formula>AND(GZ3&lt;&gt;"",GZ3&lt;&gt;"Ok")</formula>
    </cfRule>
  </conditionalFormatting>
  <conditionalFormatting sqref="HB3:HB32">
    <cfRule type="expression" dxfId="24" priority="95" stopIfTrue="1">
      <formula>HB3="Ok"</formula>
    </cfRule>
  </conditionalFormatting>
  <conditionalFormatting sqref="HB3:HB32">
    <cfRule type="expression" dxfId="23" priority="96" stopIfTrue="1">
      <formula>AND(HB3&lt;&gt;"",HB3&lt;&gt;"Ok")</formula>
    </cfRule>
  </conditionalFormatting>
  <conditionalFormatting sqref="HD3:HD32">
    <cfRule type="expression" dxfId="22" priority="97" stopIfTrue="1">
      <formula>HD3="Ok"</formula>
    </cfRule>
  </conditionalFormatting>
  <conditionalFormatting sqref="HD3:HD32">
    <cfRule type="expression" dxfId="21" priority="98" stopIfTrue="1">
      <formula>AND(HD3&lt;&gt;"",HD3&lt;&gt;"Ok")</formula>
    </cfRule>
  </conditionalFormatting>
  <conditionalFormatting sqref="HF3:HF32">
    <cfRule type="expression" dxfId="20" priority="99" stopIfTrue="1">
      <formula>HF3="Ok"</formula>
    </cfRule>
  </conditionalFormatting>
  <conditionalFormatting sqref="HF3:HF32">
    <cfRule type="expression" dxfId="19" priority="100" stopIfTrue="1">
      <formula>AND(HF3&lt;&gt;"",HF3&lt;&gt;"Ok")</formula>
    </cfRule>
  </conditionalFormatting>
  <conditionalFormatting sqref="GD37:GD51">
    <cfRule type="expression" dxfId="18" priority="101" stopIfTrue="1">
      <formula>GD37="Ok"</formula>
    </cfRule>
  </conditionalFormatting>
  <conditionalFormatting sqref="GD37:GD51">
    <cfRule type="expression" dxfId="17" priority="102" stopIfTrue="1">
      <formula>AND(GD37&lt;&gt;"",GD37&lt;&gt;"Ok")</formula>
    </cfRule>
  </conditionalFormatting>
  <conditionalFormatting sqref="D3:D32">
    <cfRule type="cellIs" dxfId="16" priority="103" operator="equal">
      <formula>0</formula>
    </cfRule>
  </conditionalFormatting>
  <conditionalFormatting sqref="O3:O32">
    <cfRule type="cellIs" dxfId="15" priority="104" operator="equal">
      <formula>0</formula>
    </cfRule>
  </conditionalFormatting>
  <conditionalFormatting sqref="Z3:Z32">
    <cfRule type="cellIs" dxfId="14" priority="105" operator="equal">
      <formula>0</formula>
    </cfRule>
  </conditionalFormatting>
  <conditionalFormatting sqref="AK3:AK32">
    <cfRule type="cellIs" dxfId="13" priority="106" operator="equal">
      <formula>0</formula>
    </cfRule>
  </conditionalFormatting>
  <conditionalFormatting sqref="AV3:AV32">
    <cfRule type="cellIs" dxfId="12" priority="107" operator="equal">
      <formula>0</formula>
    </cfRule>
  </conditionalFormatting>
  <conditionalFormatting sqref="BJ3:BJ32">
    <cfRule type="cellIs" dxfId="11" priority="108" operator="equal">
      <formula>0</formula>
    </cfRule>
  </conditionalFormatting>
  <conditionalFormatting sqref="BX3:BX32">
    <cfRule type="cellIs" dxfId="10" priority="109" operator="equal">
      <formula>0</formula>
    </cfRule>
  </conditionalFormatting>
  <conditionalFormatting sqref="CL3:CL32">
    <cfRule type="cellIs" dxfId="9" priority="110" operator="equal">
      <formula>0</formula>
    </cfRule>
  </conditionalFormatting>
  <conditionalFormatting sqref="CZ3:CZ32">
    <cfRule type="cellIs" dxfId="8" priority="111" operator="equal">
      <formula>0</formula>
    </cfRule>
  </conditionalFormatting>
  <conditionalFormatting sqref="DN3:DN32">
    <cfRule type="cellIs" dxfId="7" priority="112" operator="equal">
      <formula>0</formula>
    </cfRule>
  </conditionalFormatting>
  <conditionalFormatting sqref="EB3:EB32">
    <cfRule type="cellIs" dxfId="6" priority="113" operator="equal">
      <formula>0</formula>
    </cfRule>
  </conditionalFormatting>
  <conditionalFormatting sqref="EL3:EL32">
    <cfRule type="cellIs" dxfId="5" priority="114" operator="equal">
      <formula>0</formula>
    </cfRule>
  </conditionalFormatting>
  <conditionalFormatting sqref="EV3:EV32">
    <cfRule type="cellIs" dxfId="4" priority="115" operator="equal">
      <formula>0</formula>
    </cfRule>
  </conditionalFormatting>
  <conditionalFormatting sqref="FF3:FF32">
    <cfRule type="cellIs" dxfId="3" priority="116" operator="equal">
      <formula>0</formula>
    </cfRule>
  </conditionalFormatting>
  <conditionalFormatting sqref="FP3:FP32">
    <cfRule type="cellIs" dxfId="2" priority="117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xams_sheet">
    <pageSetUpPr fitToPage="1"/>
  </sheetPr>
  <dimension ref="A1:R224"/>
  <sheetViews>
    <sheetView zoomScale="130" zoomScaleNormal="130" workbookViewId="0">
      <selection activeCell="B1" sqref="B1"/>
    </sheetView>
  </sheetViews>
  <sheetFormatPr defaultColWidth="0" defaultRowHeight="14.4" zeroHeight="1" x14ac:dyDescent="0.3"/>
  <cols>
    <col min="1" max="1" width="7.77734375" customWidth="1"/>
    <col min="2" max="2" width="42.77734375" customWidth="1"/>
    <col min="3" max="17" width="8.33203125" hidden="1" customWidth="1"/>
    <col min="18" max="18" width="28.44140625" hidden="1" customWidth="1"/>
  </cols>
  <sheetData>
    <row r="1" spans="1:17" ht="22.05" customHeight="1" x14ac:dyDescent="0.3">
      <c r="A1" s="91" t="s">
        <v>105</v>
      </c>
      <c r="B1" s="32" t="s">
        <v>56</v>
      </c>
    </row>
    <row r="2" spans="1:17" ht="25.95" customHeight="1" x14ac:dyDescent="0.3">
      <c r="A2" s="232" t="str">
        <f>IF($B$1="","Select an activity above",$B$1&amp;" Sheet _ "&amp;Inf_CourseCode)</f>
        <v xml:space="preserve">Second Exam Sheet _ </v>
      </c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</row>
    <row r="3" spans="1:17" ht="22.05" customHeight="1" x14ac:dyDescent="0.3">
      <c r="A3" s="92" t="s">
        <v>27</v>
      </c>
      <c r="B3" s="92" t="s">
        <v>106</v>
      </c>
      <c r="C3" s="92" t="str">
        <f>K_1</f>
        <v>K1</v>
      </c>
      <c r="D3" s="92" t="str">
        <f>K_2</f>
        <v>K2</v>
      </c>
      <c r="E3" s="92" t="str">
        <f>K_3</f>
        <v>K3</v>
      </c>
      <c r="F3" s="92" t="str">
        <f>K_4</f>
        <v>K4</v>
      </c>
      <c r="G3" s="92" t="str">
        <f>S_1</f>
        <v>S1</v>
      </c>
      <c r="H3" s="92" t="str">
        <f>S_2</f>
        <v>S2</v>
      </c>
      <c r="I3" s="92" t="str">
        <f>S_3</f>
        <v>S3</v>
      </c>
      <c r="J3" s="92" t="str">
        <f>S_4</f>
        <v>S4</v>
      </c>
      <c r="K3" s="92" t="str">
        <f>S_5</f>
        <v>S5</v>
      </c>
      <c r="L3" s="92" t="str">
        <f>S_6</f>
        <v>S6</v>
      </c>
      <c r="M3" s="92" t="str">
        <f>S_7</f>
        <v>S7</v>
      </c>
      <c r="N3" s="92" t="str">
        <f>V_1</f>
        <v>V1</v>
      </c>
      <c r="O3" s="92" t="str">
        <f>V_2</f>
        <v>V2</v>
      </c>
      <c r="P3" s="92" t="str">
        <f>V_3</f>
        <v>V3</v>
      </c>
      <c r="Q3" s="92" t="str">
        <f>V_4</f>
        <v>V4</v>
      </c>
    </row>
    <row r="4" spans="1:17" ht="19.95" hidden="1" customHeight="1" x14ac:dyDescent="0.3">
      <c r="A4" s="93">
        <f>Table_Specifications!A3</f>
        <v>1</v>
      </c>
      <c r="B4" s="141" t="str">
        <f>IF(Top_1="","",Top_1)</f>
        <v/>
      </c>
      <c r="C4" s="94">
        <f>IFERROR(INDEX(Table_Specifications!$E$3:$N$3,MATCH($B$1,Table_Specifications!$E$2:$N$2,0)),"")</f>
        <v>0</v>
      </c>
      <c r="D4" s="94">
        <f>IFERROR(INDEX(Table_Specifications!$P$3:$Y$3,MATCH($B$1,Table_Specifications!$P$2:$Y$2,0)),"")</f>
        <v>0</v>
      </c>
      <c r="E4" s="94">
        <f>IFERROR(INDEX(Table_Specifications!$AA$3:$AJ$3,MATCH($B$1,Table_Specifications!$AA$2:$AJ$2,0)),"")</f>
        <v>0</v>
      </c>
      <c r="F4" s="94">
        <f>IFERROR(INDEX(Table_Specifications!$AL$3:$AU$3,MATCH($B$1,Table_Specifications!$AL$2:$AU$2,0)),"")</f>
        <v>0</v>
      </c>
      <c r="G4" s="94">
        <f>IFERROR(INDEX(Table_Specifications!$AW$3:$BI$3,MATCH($B$1,Table_Specifications!$AW$2:$BI$2,0)),"")</f>
        <v>0</v>
      </c>
      <c r="H4" s="94">
        <f>IFERROR(INDEX(Table_Specifications!$BK$3:$BW$3,MATCH($B$1,Table_Specifications!$BK$2:$BW$2,0)),"")</f>
        <v>0</v>
      </c>
      <c r="I4" s="94">
        <f>IFERROR(INDEX(Table_Specifications!$BY$3:$CK$3,MATCH($B$1,Table_Specifications!$BY$2:$CK$2,0)),"")</f>
        <v>0</v>
      </c>
      <c r="J4" s="94">
        <f>IFERROR(INDEX(Table_Specifications!$CM$3:$CY$3,MATCH($B$1,Table_Specifications!$CM$2:$CY$2,0)),"")</f>
        <v>0</v>
      </c>
      <c r="K4" s="94">
        <f>IFERROR(INDEX(Table_Specifications!$DA$3:$DM$3,MATCH($B$1,Table_Specifications!$DA$2:$DM$2,0)),"")</f>
        <v>0</v>
      </c>
      <c r="L4" s="94">
        <f>IFERROR(INDEX(Table_Specifications!$DO$3:$EA$3,MATCH($B$1,Table_Specifications!$DO$2:$EA$2,0)),"")</f>
        <v>0</v>
      </c>
      <c r="M4" s="94" t="str">
        <f>IFERROR(INDEX(Table_Specifications!$EC$3:$EK$3,MATCH($B$1,Table_Specifications!$EC$2:$EK$2,0)),"")</f>
        <v/>
      </c>
      <c r="N4" s="94" t="str">
        <f>IFERROR(INDEX(Table_Specifications!$EM$3:$EU$3,MATCH($B$1,Table_Specifications!$EM$2:$EU$2,0)),"")</f>
        <v/>
      </c>
      <c r="O4" s="94" t="str">
        <f>IFERROR(INDEX(Table_Specifications!$EW$3:$FE$3,MATCH($B$1,Table_Specifications!$EW$2:$FE$2,0)),"")</f>
        <v/>
      </c>
      <c r="P4" s="94" t="str">
        <f>IFERROR(INDEX(Table_Specifications!$FG$3:$FO$3,MATCH($B$1,Table_Specifications!$FG$2:$FO$2,0)),"")</f>
        <v/>
      </c>
      <c r="Q4" s="94" t="str">
        <f>IFERROR(INDEX(Table_Specifications!$FQ$3:$FY$3,MATCH($B$1,Table_Specifications!$FQ$2:$FY$2,0)),"")</f>
        <v/>
      </c>
    </row>
    <row r="5" spans="1:17" ht="19.95" hidden="1" customHeight="1" x14ac:dyDescent="0.3">
      <c r="A5" s="95">
        <f>Table_Specifications!A4</f>
        <v>2</v>
      </c>
      <c r="B5" s="142" t="str">
        <f>IF(Top_2="","",Top_2)</f>
        <v/>
      </c>
      <c r="C5" s="96">
        <f>IFERROR(INDEX(Table_Specifications!$E$4:$N$4,MATCH($B$1,Table_Specifications!$E$2:$N$2,0)),"")</f>
        <v>0</v>
      </c>
      <c r="D5" s="96">
        <f>IFERROR(INDEX(Table_Specifications!$P$4:$Y$4,MATCH($B$1,Table_Specifications!$P$2:$Y$2,0)),"")</f>
        <v>0</v>
      </c>
      <c r="E5" s="96">
        <f>IFERROR(INDEX(Table_Specifications!$AA$4:$AJ$4,MATCH($B$1,Table_Specifications!$AA$2:$AJ$2,0)),"")</f>
        <v>0</v>
      </c>
      <c r="F5" s="96">
        <f>IFERROR(INDEX(Table_Specifications!$AL$4:$AU$4,MATCH($B$1,Table_Specifications!$AL$2:$AU$2,0)),"")</f>
        <v>0</v>
      </c>
      <c r="G5" s="96">
        <f>IFERROR(INDEX(Table_Specifications!$AW$4:$BI$4,MATCH($B$1,Table_Specifications!$AW$2:$BI$2,0)),"")</f>
        <v>0</v>
      </c>
      <c r="H5" s="96">
        <f>IFERROR(INDEX(Table_Specifications!$BK$4:$BW$4,MATCH($B$1,Table_Specifications!$BK$2:$BW$2,0)),"")</f>
        <v>0</v>
      </c>
      <c r="I5" s="96">
        <f>IFERROR(INDEX(Table_Specifications!$BY$4:$CK$4,MATCH($B$1,Table_Specifications!$BY$2:$CK$2,0)),"")</f>
        <v>0</v>
      </c>
      <c r="J5" s="96">
        <f>IFERROR(INDEX(Table_Specifications!$CM$4:$CY$4,MATCH($B$1,Table_Specifications!$CM$2:$CY$2,0)),"")</f>
        <v>0</v>
      </c>
      <c r="K5" s="96">
        <f>IFERROR(INDEX(Table_Specifications!$DA$4:$DM$4,MATCH($B$1,Table_Specifications!$DA$2:$DM$2,0)),"")</f>
        <v>0</v>
      </c>
      <c r="L5" s="96">
        <f>IFERROR(INDEX(Table_Specifications!$DO$4:$EA$4,MATCH($B$1,Table_Specifications!$DO$2:$EA$2,0)),"")</f>
        <v>0</v>
      </c>
      <c r="M5" s="96" t="str">
        <f>IFERROR(INDEX(Table_Specifications!$EC$4:$EK$4,MATCH($B$1,Table_Specifications!$EC$2:$EK$2,0)),"")</f>
        <v/>
      </c>
      <c r="N5" s="96" t="str">
        <f>IFERROR(INDEX(Table_Specifications!$EM$4:$EU$4,MATCH($B$1,Table_Specifications!$EM$2:$EU$2,0)),"")</f>
        <v/>
      </c>
      <c r="O5" s="96" t="str">
        <f>IFERROR(INDEX(Table_Specifications!$EW$4:$FE$4,MATCH($B$1,Table_Specifications!$EW$2:$FE$2,0)),"")</f>
        <v/>
      </c>
      <c r="P5" s="96" t="str">
        <f>IFERROR(INDEX(Table_Specifications!$FG$4:$FO$4,MATCH($B$1,Table_Specifications!$FG$2:$FO$2,0)),"")</f>
        <v/>
      </c>
      <c r="Q5" s="96" t="str">
        <f>IFERROR(INDEX(Table_Specifications!$FQ$4:$FY$4,MATCH($B$1,Table_Specifications!$FQ$2:$FY$2,0)),"")</f>
        <v/>
      </c>
    </row>
    <row r="6" spans="1:17" ht="19.95" hidden="1" customHeight="1" x14ac:dyDescent="0.3">
      <c r="A6" s="93">
        <f>Table_Specifications!A5</f>
        <v>3</v>
      </c>
      <c r="B6" s="141" t="str">
        <f>IF(Top_3="","",Top_3)</f>
        <v/>
      </c>
      <c r="C6" s="94">
        <f>IFERROR(INDEX(Table_Specifications!$E$5:$N$5,MATCH($B$1,Table_Specifications!$E$2:$N$2,0)),"")</f>
        <v>0</v>
      </c>
      <c r="D6" s="94">
        <f>IFERROR(INDEX(Table_Specifications!$P$5:$Y$5,MATCH($B$1,Table_Specifications!$P$2:$Y$2,0)),"")</f>
        <v>0</v>
      </c>
      <c r="E6" s="94">
        <f>IFERROR(INDEX(Table_Specifications!$AA$5:$AJ$5,MATCH($B$1,Table_Specifications!$AA$2:$AJ$2,0)),"")</f>
        <v>0</v>
      </c>
      <c r="F6" s="94">
        <f>IFERROR(INDEX(Table_Specifications!$AL$5:$AU$5,MATCH($B$1,Table_Specifications!$AL$2:$AU$2,0)),"")</f>
        <v>0</v>
      </c>
      <c r="G6" s="94">
        <f>IFERROR(INDEX(Table_Specifications!$AW$5:$BI$5,MATCH($B$1,Table_Specifications!$AW$2:$BI$2,0)),"")</f>
        <v>0</v>
      </c>
      <c r="H6" s="94">
        <f>IFERROR(INDEX(Table_Specifications!$BK$5:$BW$5,MATCH($B$1,Table_Specifications!$BK$2:$BW$2,0)),"")</f>
        <v>0</v>
      </c>
      <c r="I6" s="94">
        <f>IFERROR(INDEX(Table_Specifications!$BY$5:$CK$5,MATCH($B$1,Table_Specifications!$BY$2:$CK$2,0)),"")</f>
        <v>0</v>
      </c>
      <c r="J6" s="94">
        <f>IFERROR(INDEX(Table_Specifications!$CM$5:$CY$5,MATCH($B$1,Table_Specifications!$CM$2:$CY$2,0)),"")</f>
        <v>0</v>
      </c>
      <c r="K6" s="94">
        <f>IFERROR(INDEX(Table_Specifications!$DA$5:$DM$5,MATCH($B$1,Table_Specifications!$DA$2:$DM$2,0)),"")</f>
        <v>0</v>
      </c>
      <c r="L6" s="94">
        <f>IFERROR(INDEX(Table_Specifications!$DO$5:$EA$5,MATCH($B$1,Table_Specifications!$DO$2:$EA$2,0)),"")</f>
        <v>0</v>
      </c>
      <c r="M6" s="94" t="str">
        <f>IFERROR(INDEX(Table_Specifications!$EC$5:$EK$5,MATCH($B$1,Table_Specifications!$EC$2:$EK$2,0)),"")</f>
        <v/>
      </c>
      <c r="N6" s="94" t="str">
        <f>IFERROR(INDEX(Table_Specifications!$EM$5:$EU$5,MATCH($B$1,Table_Specifications!$EM$2:$EU$2,0)),"")</f>
        <v/>
      </c>
      <c r="O6" s="94" t="str">
        <f>IFERROR(INDEX(Table_Specifications!$EW$5:$FE$5,MATCH($B$1,Table_Specifications!$EW$2:$FE$2,0)),"")</f>
        <v/>
      </c>
      <c r="P6" s="94" t="str">
        <f>IFERROR(INDEX(Table_Specifications!$FG$5:$FO$5,MATCH($B$1,Table_Specifications!$FG$2:$FO$2,0)),"")</f>
        <v/>
      </c>
      <c r="Q6" s="94" t="str">
        <f>IFERROR(INDEX(Table_Specifications!$FQ$5:$FY$5,MATCH($B$1,Table_Specifications!$FQ$2:$FY$2,0)),"")</f>
        <v/>
      </c>
    </row>
    <row r="7" spans="1:17" ht="19.95" hidden="1" customHeight="1" x14ac:dyDescent="0.3">
      <c r="A7" s="95">
        <f>Table_Specifications!A6</f>
        <v>4</v>
      </c>
      <c r="B7" s="142" t="str">
        <f>IF(Top_4="","",Top_4)</f>
        <v/>
      </c>
      <c r="C7" s="96">
        <f>IFERROR(INDEX(Table_Specifications!$E$6:$N$6,MATCH($B$1,Table_Specifications!$E$2:$N$2,0)),"")</f>
        <v>0</v>
      </c>
      <c r="D7" s="96">
        <f>IFERROR(INDEX(Table_Specifications!$P$6:$Y$6,MATCH($B$1,Table_Specifications!$P$2:$Y$2,0)),"")</f>
        <v>0</v>
      </c>
      <c r="E7" s="96">
        <f>IFERROR(INDEX(Table_Specifications!$AA$6:$AJ$6,MATCH($B$1,Table_Specifications!$AA$2:$AJ$2,0)),"")</f>
        <v>0</v>
      </c>
      <c r="F7" s="96">
        <f>IFERROR(INDEX(Table_Specifications!$AL$6:$AU$6,MATCH($B$1,Table_Specifications!$AL$2:$AU$2,0)),"")</f>
        <v>0</v>
      </c>
      <c r="G7" s="96">
        <f>IFERROR(INDEX(Table_Specifications!$AW$6:$BI$6,MATCH($B$1,Table_Specifications!$AW$2:$BI$2,0)),"")</f>
        <v>0</v>
      </c>
      <c r="H7" s="96">
        <f>IFERROR(INDEX(Table_Specifications!$BK$6:$BW$6,MATCH($B$1,Table_Specifications!$BK$2:$BW$2,0)),"")</f>
        <v>0</v>
      </c>
      <c r="I7" s="96">
        <f>IFERROR(INDEX(Table_Specifications!$BY$6:$CK$6,MATCH($B$1,Table_Specifications!$BY$2:$CK$2,0)),"")</f>
        <v>0</v>
      </c>
      <c r="J7" s="96">
        <f>IFERROR(INDEX(Table_Specifications!$CM$6:$CY$6,MATCH($B$1,Table_Specifications!$CM$2:$CY$2,0)),"")</f>
        <v>0</v>
      </c>
      <c r="K7" s="96">
        <f>IFERROR(INDEX(Table_Specifications!$DA$6:$DM$6,MATCH($B$1,Table_Specifications!$DA$2:$DM$2,0)),"")</f>
        <v>0</v>
      </c>
      <c r="L7" s="96">
        <f>IFERROR(INDEX(Table_Specifications!$DO$6:$EA$6,MATCH($B$1,Table_Specifications!$DO$2:$EA$2,0)),"")</f>
        <v>0</v>
      </c>
      <c r="M7" s="96" t="str">
        <f>IFERROR(INDEX(Table_Specifications!$EC$6:$EK$6,MATCH($B$1,Table_Specifications!$EC$2:$EK$2,0)),"")</f>
        <v/>
      </c>
      <c r="N7" s="96" t="str">
        <f>IFERROR(INDEX(Table_Specifications!$EM$6:$EU$6,MATCH($B$1,Table_Specifications!$EM$2:$EU$2,0)),"")</f>
        <v/>
      </c>
      <c r="O7" s="96" t="str">
        <f>IFERROR(INDEX(Table_Specifications!$EW$6:$FE$6,MATCH($B$1,Table_Specifications!$EW$2:$FE$2,0)),"")</f>
        <v/>
      </c>
      <c r="P7" s="96" t="str">
        <f>IFERROR(INDEX(Table_Specifications!$FG$6:$FO$6,MATCH($B$1,Table_Specifications!$FG$2:$FO$2,0)),"")</f>
        <v/>
      </c>
      <c r="Q7" s="96" t="str">
        <f>IFERROR(INDEX(Table_Specifications!$FQ$6:$FY$6,MATCH($B$1,Table_Specifications!$FQ$2:$FY$2,0)),"")</f>
        <v/>
      </c>
    </row>
    <row r="8" spans="1:17" ht="19.95" hidden="1" customHeight="1" x14ac:dyDescent="0.3">
      <c r="A8" s="93">
        <f>Table_Specifications!A7</f>
        <v>5</v>
      </c>
      <c r="B8" s="141" t="str">
        <f>IF(Top_5="","",Top_5)</f>
        <v/>
      </c>
      <c r="C8" s="94">
        <f>IFERROR(INDEX(Table_Specifications!$E$7:$N$7,MATCH($B$1,Table_Specifications!$E$2:$N$2,0)),"")</f>
        <v>0</v>
      </c>
      <c r="D8" s="94">
        <f>IFERROR(INDEX(Table_Specifications!$P$7:$Y$7,MATCH($B$1,Table_Specifications!$P$2:$Y$2,0)),"")</f>
        <v>0</v>
      </c>
      <c r="E8" s="94">
        <f>IFERROR(INDEX(Table_Specifications!$AA$7:$AJ$7,MATCH($B$1,Table_Specifications!$AA$2:$AJ$2,0)),"")</f>
        <v>0</v>
      </c>
      <c r="F8" s="94">
        <f>IFERROR(INDEX(Table_Specifications!$AL$7:$AU$7,MATCH($B$1,Table_Specifications!$AL$2:$AU$2,0)),"")</f>
        <v>0</v>
      </c>
      <c r="G8" s="94">
        <f>IFERROR(INDEX(Table_Specifications!$AW$7:$BI$7,MATCH($B$1,Table_Specifications!$AW$2:$BI$2,0)),"")</f>
        <v>0</v>
      </c>
      <c r="H8" s="94">
        <f>IFERROR(INDEX(Table_Specifications!$BK$7:$BW$7,MATCH($B$1,Table_Specifications!$BK$2:$BW$2,0)),"")</f>
        <v>0</v>
      </c>
      <c r="I8" s="94">
        <f>IFERROR(INDEX(Table_Specifications!$BY$7:$CK$7,MATCH($B$1,Table_Specifications!$BY$2:$CK$2,0)),"")</f>
        <v>0</v>
      </c>
      <c r="J8" s="94">
        <f>IFERROR(INDEX(Table_Specifications!$CM$7:$CY$7,MATCH($B$1,Table_Specifications!$CM$2:$CY$2,0)),"")</f>
        <v>0</v>
      </c>
      <c r="K8" s="94">
        <f>IFERROR(INDEX(Table_Specifications!$DA$7:$DM$7,MATCH($B$1,Table_Specifications!$DA$2:$DM$2,0)),"")</f>
        <v>0</v>
      </c>
      <c r="L8" s="94">
        <f>IFERROR(INDEX(Table_Specifications!$DO$7:$EA$7,MATCH($B$1,Table_Specifications!$DO$2:$EA$2,0)),"")</f>
        <v>0</v>
      </c>
      <c r="M8" s="94" t="str">
        <f>IFERROR(INDEX(Table_Specifications!$EC$7:$EK$7,MATCH($B$1,Table_Specifications!$EC$2:$EK$2,0)),"")</f>
        <v/>
      </c>
      <c r="N8" s="94" t="str">
        <f>IFERROR(INDEX(Table_Specifications!$EM$7:$EU$7,MATCH($B$1,Table_Specifications!$EM$2:$EU$2,0)),"")</f>
        <v/>
      </c>
      <c r="O8" s="94" t="str">
        <f>IFERROR(INDEX(Table_Specifications!$EW$7:$FE$7,MATCH($B$1,Table_Specifications!$EW$2:$FE$2,0)),"")</f>
        <v/>
      </c>
      <c r="P8" s="94" t="str">
        <f>IFERROR(INDEX(Table_Specifications!$FG$7:$FO$7,MATCH($B$1,Table_Specifications!$FG$2:$FO$2,0)),"")</f>
        <v/>
      </c>
      <c r="Q8" s="94" t="str">
        <f>IFERROR(INDEX(Table_Specifications!$FQ$7:$FY$7,MATCH($B$1,Table_Specifications!$FQ$2:$FY$2,0)),"")</f>
        <v/>
      </c>
    </row>
    <row r="9" spans="1:17" ht="19.95" hidden="1" customHeight="1" x14ac:dyDescent="0.3">
      <c r="A9" s="95">
        <f>Table_Specifications!A8</f>
        <v>6</v>
      </c>
      <c r="B9" s="142" t="str">
        <f>IF(Top_6="","",Top_6)</f>
        <v/>
      </c>
      <c r="C9" s="96">
        <f>IFERROR(INDEX(Table_Specifications!$E$8:$N$8,MATCH($B$1,Table_Specifications!$E$2:$N$2,0)),"")</f>
        <v>0</v>
      </c>
      <c r="D9" s="96">
        <f>IFERROR(INDEX(Table_Specifications!$P$8:$Y$8,MATCH($B$1,Table_Specifications!$P$2:$Y$2,0)),"")</f>
        <v>0</v>
      </c>
      <c r="E9" s="96">
        <f>IFERROR(INDEX(Table_Specifications!$AA$8:$AJ$8,MATCH($B$1,Table_Specifications!$AA$2:$AJ$2,0)),"")</f>
        <v>0</v>
      </c>
      <c r="F9" s="96">
        <f>IFERROR(INDEX(Table_Specifications!$AL$8:$AU$8,MATCH($B$1,Table_Specifications!$AL$2:$AU$2,0)),"")</f>
        <v>0</v>
      </c>
      <c r="G9" s="96">
        <f>IFERROR(INDEX(Table_Specifications!$AW$8:$BI$8,MATCH($B$1,Table_Specifications!$AW$2:$BI$2,0)),"")</f>
        <v>0</v>
      </c>
      <c r="H9" s="96">
        <f>IFERROR(INDEX(Table_Specifications!$BK$8:$BW$8,MATCH($B$1,Table_Specifications!$BK$2:$BW$2,0)),"")</f>
        <v>0</v>
      </c>
      <c r="I9" s="96">
        <f>IFERROR(INDEX(Table_Specifications!$BY$8:$CK$8,MATCH($B$1,Table_Specifications!$BY$2:$CK$2,0)),"")</f>
        <v>0</v>
      </c>
      <c r="J9" s="96">
        <f>IFERROR(INDEX(Table_Specifications!$CM$8:$CY$8,MATCH($B$1,Table_Specifications!$CM$2:$CY$2,0)),"")</f>
        <v>0</v>
      </c>
      <c r="K9" s="96">
        <f>IFERROR(INDEX(Table_Specifications!$DA$8:$DM$8,MATCH($B$1,Table_Specifications!$DA$2:$DM$2,0)),"")</f>
        <v>0</v>
      </c>
      <c r="L9" s="96">
        <f>IFERROR(INDEX(Table_Specifications!$DO$8:$EA$8,MATCH($B$1,Table_Specifications!$DO$2:$EA$2,0)),"")</f>
        <v>0</v>
      </c>
      <c r="M9" s="96" t="str">
        <f>IFERROR(INDEX(Table_Specifications!$EC$8:$EK$8,MATCH($B$1,Table_Specifications!$EC$2:$EK$2,0)),"")</f>
        <v/>
      </c>
      <c r="N9" s="96" t="str">
        <f>IFERROR(INDEX(Table_Specifications!$EM$8:$EU$8,MATCH($B$1,Table_Specifications!$EM$2:$EU$2,0)),"")</f>
        <v/>
      </c>
      <c r="O9" s="96" t="str">
        <f>IFERROR(INDEX(Table_Specifications!$EW$8:$FE$8,MATCH($B$1,Table_Specifications!$EW$2:$FE$2,0)),"")</f>
        <v/>
      </c>
      <c r="P9" s="96" t="str">
        <f>IFERROR(INDEX(Table_Specifications!$FG$8:$FO$8,MATCH($B$1,Table_Specifications!$FG$2:$FO$2,0)),"")</f>
        <v/>
      </c>
      <c r="Q9" s="96" t="str">
        <f>IFERROR(INDEX(Table_Specifications!$FQ$8:$FY$8,MATCH($B$1,Table_Specifications!$FQ$2:$FY$2,0)),"")</f>
        <v/>
      </c>
    </row>
    <row r="10" spans="1:17" ht="19.95" hidden="1" customHeight="1" x14ac:dyDescent="0.3">
      <c r="A10" s="93">
        <f>Table_Specifications!A9</f>
        <v>7</v>
      </c>
      <c r="B10" s="141" t="str">
        <f>IF(Top_7="","",Top_7)</f>
        <v/>
      </c>
      <c r="C10" s="94">
        <f>IFERROR(INDEX(Table_Specifications!$E$9:$N$9,MATCH($B$1,Table_Specifications!$E$2:$N$2,0)),"")</f>
        <v>0</v>
      </c>
      <c r="D10" s="94">
        <f>IFERROR(INDEX(Table_Specifications!$P$9:$Y$9,MATCH($B$1,Table_Specifications!$P$2:$Y$2,0)),"")</f>
        <v>0</v>
      </c>
      <c r="E10" s="94">
        <f>IFERROR(INDEX(Table_Specifications!$AA$9:$AJ$9,MATCH($B$1,Table_Specifications!$AA$2:$AJ$2,0)),"")</f>
        <v>0</v>
      </c>
      <c r="F10" s="94">
        <f>IFERROR(INDEX(Table_Specifications!$AL$9:$AU$9,MATCH($B$1,Table_Specifications!$AL$2:$AU$2,0)),"")</f>
        <v>0</v>
      </c>
      <c r="G10" s="94">
        <f>IFERROR(INDEX(Table_Specifications!$AW$9:$BI$9,MATCH($B$1,Table_Specifications!$AW$2:$BI$2,0)),"")</f>
        <v>0</v>
      </c>
      <c r="H10" s="94">
        <f>IFERROR(INDEX(Table_Specifications!$BK$9:$BW$9,MATCH($B$1,Table_Specifications!$BK$2:$BW$2,0)),"")</f>
        <v>0</v>
      </c>
      <c r="I10" s="94">
        <f>IFERROR(INDEX(Table_Specifications!$BY$9:$CK$9,MATCH($B$1,Table_Specifications!$BY$2:$CK$2,0)),"")</f>
        <v>0</v>
      </c>
      <c r="J10" s="94">
        <f>IFERROR(INDEX(Table_Specifications!$CM$9:$CY$9,MATCH($B$1,Table_Specifications!$CM$2:$CY$2,0)),"")</f>
        <v>0</v>
      </c>
      <c r="K10" s="94">
        <f>IFERROR(INDEX(Table_Specifications!$DA$9:$DM$9,MATCH($B$1,Table_Specifications!$DA$2:$DM$2,0)),"")</f>
        <v>0</v>
      </c>
      <c r="L10" s="94">
        <f>IFERROR(INDEX(Table_Specifications!$DO$9:$EA$9,MATCH($B$1,Table_Specifications!$DO$2:$EA$2,0)),"")</f>
        <v>0</v>
      </c>
      <c r="M10" s="94" t="str">
        <f>IFERROR(INDEX(Table_Specifications!$EC$9:$EK$9,MATCH($B$1,Table_Specifications!$EC$2:$EK$2,0)),"")</f>
        <v/>
      </c>
      <c r="N10" s="94" t="str">
        <f>IFERROR(INDEX(Table_Specifications!$EM$9:$EU$9,MATCH($B$1,Table_Specifications!$EM$2:$EU$2,0)),"")</f>
        <v/>
      </c>
      <c r="O10" s="94" t="str">
        <f>IFERROR(INDEX(Table_Specifications!$EW$9:$FE$9,MATCH($B$1,Table_Specifications!$EW$2:$FE$2,0)),"")</f>
        <v/>
      </c>
      <c r="P10" s="94" t="str">
        <f>IFERROR(INDEX(Table_Specifications!$FG$9:$FO$9,MATCH($B$1,Table_Specifications!$FG$2:$FO$2,0)),"")</f>
        <v/>
      </c>
      <c r="Q10" s="94" t="str">
        <f>IFERROR(INDEX(Table_Specifications!$FQ$9:$FY$9,MATCH($B$1,Table_Specifications!$FQ$2:$FY$2,0)),"")</f>
        <v/>
      </c>
    </row>
    <row r="11" spans="1:17" ht="19.95" hidden="1" customHeight="1" x14ac:dyDescent="0.3">
      <c r="A11" s="95">
        <f>Table_Specifications!A10</f>
        <v>8</v>
      </c>
      <c r="B11" s="142" t="str">
        <f>IF(Top_8="","",Top_8)</f>
        <v/>
      </c>
      <c r="C11" s="96">
        <f>IFERROR(INDEX(Table_Specifications!$E$10:$N$10,MATCH($B$1,Table_Specifications!$E$2:$N$2,0)),"")</f>
        <v>0</v>
      </c>
      <c r="D11" s="96">
        <f>IFERROR(INDEX(Table_Specifications!$P$10:$Y$10,MATCH($B$1,Table_Specifications!$P$2:$Y$2,0)),"")</f>
        <v>0</v>
      </c>
      <c r="E11" s="96">
        <f>IFERROR(INDEX(Table_Specifications!$AA$10:$AJ$10,MATCH($B$1,Table_Specifications!$AA$2:$AJ$2,0)),"")</f>
        <v>0</v>
      </c>
      <c r="F11" s="96">
        <f>IFERROR(INDEX(Table_Specifications!$AL$10:$AU$10,MATCH($B$1,Table_Specifications!$AL$2:$AU$2,0)),"")</f>
        <v>0</v>
      </c>
      <c r="G11" s="96">
        <f>IFERROR(INDEX(Table_Specifications!$AW$10:$BI$10,MATCH($B$1,Table_Specifications!$AW$2:$BI$2,0)),"")</f>
        <v>0</v>
      </c>
      <c r="H11" s="96">
        <f>IFERROR(INDEX(Table_Specifications!$BK$10:$BW$10,MATCH($B$1,Table_Specifications!$BK$2:$BW$2,0)),"")</f>
        <v>0</v>
      </c>
      <c r="I11" s="96">
        <f>IFERROR(INDEX(Table_Specifications!$BY$10:$CK$10,MATCH($B$1,Table_Specifications!$BY$2:$CK$2,0)),"")</f>
        <v>0</v>
      </c>
      <c r="J11" s="96">
        <f>IFERROR(INDEX(Table_Specifications!$CM$10:$CY$10,MATCH($B$1,Table_Specifications!$CM$2:$CY$2,0)),"")</f>
        <v>0</v>
      </c>
      <c r="K11" s="96">
        <f>IFERROR(INDEX(Table_Specifications!$DA$10:$DM$10,MATCH($B$1,Table_Specifications!$DA$2:$DM$2,0)),"")</f>
        <v>0</v>
      </c>
      <c r="L11" s="96">
        <f>IFERROR(INDEX(Table_Specifications!$DO$10:$EA$10,MATCH($B$1,Table_Specifications!$DO$2:$EA$2,0)),"")</f>
        <v>0</v>
      </c>
      <c r="M11" s="96" t="str">
        <f>IFERROR(INDEX(Table_Specifications!$EC$10:$EK$10,MATCH($B$1,Table_Specifications!$EC$2:$EK$2,0)),"")</f>
        <v/>
      </c>
      <c r="N11" s="96" t="str">
        <f>IFERROR(INDEX(Table_Specifications!$EM$10:$EU$10,MATCH($B$1,Table_Specifications!$EM$2:$EU$2,0)),"")</f>
        <v/>
      </c>
      <c r="O11" s="96" t="str">
        <f>IFERROR(INDEX(Table_Specifications!$EW$10:$FE$10,MATCH($B$1,Table_Specifications!$EW$2:$FE$2,0)),"")</f>
        <v/>
      </c>
      <c r="P11" s="96" t="str">
        <f>IFERROR(INDEX(Table_Specifications!$FG$10:$FO$10,MATCH($B$1,Table_Specifications!$FG$2:$FO$2,0)),"")</f>
        <v/>
      </c>
      <c r="Q11" s="96" t="str">
        <f>IFERROR(INDEX(Table_Specifications!$FQ$10:$FY$10,MATCH($B$1,Table_Specifications!$FQ$2:$FY$2,0)),"")</f>
        <v/>
      </c>
    </row>
    <row r="12" spans="1:17" ht="19.95" hidden="1" customHeight="1" x14ac:dyDescent="0.3">
      <c r="A12" s="93">
        <f>Table_Specifications!A11</f>
        <v>9</v>
      </c>
      <c r="B12" s="141" t="str">
        <f>IF(Top_9="","",Top_9)</f>
        <v/>
      </c>
      <c r="C12" s="94">
        <f>IFERROR(INDEX(Table_Specifications!$E$11:$N$11,MATCH($B$1,Table_Specifications!$E$2:$N$2,0)),"")</f>
        <v>0</v>
      </c>
      <c r="D12" s="94">
        <f>IFERROR(INDEX(Table_Specifications!$P$11:$Y$11,MATCH($B$1,Table_Specifications!$P$2:$Y$2,0)),"")</f>
        <v>0</v>
      </c>
      <c r="E12" s="94">
        <f>IFERROR(INDEX(Table_Specifications!$AA$11:$AJ$11,MATCH($B$1,Table_Specifications!$AA$2:$AJ$2,0)),"")</f>
        <v>0</v>
      </c>
      <c r="F12" s="94">
        <f>IFERROR(INDEX(Table_Specifications!$AL$11:$AU$11,MATCH($B$1,Table_Specifications!$AL$2:$AU$2,0)),"")</f>
        <v>0</v>
      </c>
      <c r="G12" s="94">
        <f>IFERROR(INDEX(Table_Specifications!$AW$11:$BI$11,MATCH($B$1,Table_Specifications!$AW$2:$BI$2,0)),"")</f>
        <v>0</v>
      </c>
      <c r="H12" s="94">
        <f>IFERROR(INDEX(Table_Specifications!$BK$11:$BW$11,MATCH($B$1,Table_Specifications!$BK$2:$BW$2,0)),"")</f>
        <v>0</v>
      </c>
      <c r="I12" s="94">
        <f>IFERROR(INDEX(Table_Specifications!$BY$11:$CK$11,MATCH($B$1,Table_Specifications!$BY$2:$CK$2,0)),"")</f>
        <v>0</v>
      </c>
      <c r="J12" s="94">
        <f>IFERROR(INDEX(Table_Specifications!$CM$11:$CY$11,MATCH($B$1,Table_Specifications!$CM$2:$CY$2,0)),"")</f>
        <v>0</v>
      </c>
      <c r="K12" s="94">
        <f>IFERROR(INDEX(Table_Specifications!$DA$11:$DM$11,MATCH($B$1,Table_Specifications!$DA$2:$DM$2,0)),"")</f>
        <v>0</v>
      </c>
      <c r="L12" s="94">
        <f>IFERROR(INDEX(Table_Specifications!$DO$11:$EA$11,MATCH($B$1,Table_Specifications!$DO$2:$EA$2,0)),"")</f>
        <v>0</v>
      </c>
      <c r="M12" s="94" t="str">
        <f>IFERROR(INDEX(Table_Specifications!$EC$11:$EK$11,MATCH($B$1,Table_Specifications!$EC$2:$EK$2,0)),"")</f>
        <v/>
      </c>
      <c r="N12" s="94" t="str">
        <f>IFERROR(INDEX(Table_Specifications!$EM$11:$EU$11,MATCH($B$1,Table_Specifications!$EM$2:$EU$2,0)),"")</f>
        <v/>
      </c>
      <c r="O12" s="94" t="str">
        <f>IFERROR(INDEX(Table_Specifications!$EW$11:$FE$11,MATCH($B$1,Table_Specifications!$EW$2:$FE$2,0)),"")</f>
        <v/>
      </c>
      <c r="P12" s="94" t="str">
        <f>IFERROR(INDEX(Table_Specifications!$FG$11:$FO$11,MATCH($B$1,Table_Specifications!$FG$2:$FO$2,0)),"")</f>
        <v/>
      </c>
      <c r="Q12" s="94" t="str">
        <f>IFERROR(INDEX(Table_Specifications!$FQ$11:$FY$11,MATCH($B$1,Table_Specifications!$FQ$2:$FY$2,0)),"")</f>
        <v/>
      </c>
    </row>
    <row r="13" spans="1:17" ht="19.95" hidden="1" customHeight="1" x14ac:dyDescent="0.3">
      <c r="A13" s="95">
        <f>Table_Specifications!A12</f>
        <v>10</v>
      </c>
      <c r="B13" s="142" t="str">
        <f>IF(Top_10="","",Top_10)</f>
        <v/>
      </c>
      <c r="C13" s="96">
        <f>IFERROR(INDEX(Table_Specifications!$E$12:$N$12,MATCH($B$1,Table_Specifications!$E$2:$N$2,0)),"")</f>
        <v>0</v>
      </c>
      <c r="D13" s="96">
        <f>IFERROR(INDEX(Table_Specifications!$P$12:$Y$12,MATCH($B$1,Table_Specifications!$P$2:$Y$2,0)),"")</f>
        <v>0</v>
      </c>
      <c r="E13" s="96">
        <f>IFERROR(INDEX(Table_Specifications!$AA$12:$AJ$12,MATCH($B$1,Table_Specifications!$AA$2:$AJ$2,0)),"")</f>
        <v>0</v>
      </c>
      <c r="F13" s="96">
        <f>IFERROR(INDEX(Table_Specifications!$AL$12:$AU$12,MATCH($B$1,Table_Specifications!$AL$2:$AU$2,0)),"")</f>
        <v>0</v>
      </c>
      <c r="G13" s="96">
        <f>IFERROR(INDEX(Table_Specifications!$AW$12:$BI$12,MATCH($B$1,Table_Specifications!$AW$2:$BI$2,0)),"")</f>
        <v>0</v>
      </c>
      <c r="H13" s="96">
        <f>IFERROR(INDEX(Table_Specifications!$BK$12:$BW$12,MATCH($B$1,Table_Specifications!$BK$2:$BW$2,0)),"")</f>
        <v>0</v>
      </c>
      <c r="I13" s="96">
        <f>IFERROR(INDEX(Table_Specifications!$BY$12:$CK$12,MATCH($B$1,Table_Specifications!$BY$2:$CK$2,0)),"")</f>
        <v>0</v>
      </c>
      <c r="J13" s="96">
        <f>IFERROR(INDEX(Table_Specifications!$CM$12:$CY$12,MATCH($B$1,Table_Specifications!$CM$2:$CY$2,0)),"")</f>
        <v>0</v>
      </c>
      <c r="K13" s="96">
        <f>IFERROR(INDEX(Table_Specifications!$DA$12:$DM$12,MATCH($B$1,Table_Specifications!$DA$2:$DM$2,0)),"")</f>
        <v>0</v>
      </c>
      <c r="L13" s="96">
        <f>IFERROR(INDEX(Table_Specifications!$DO$12:$EA$12,MATCH($B$1,Table_Specifications!$DO$2:$EA$2,0)),"")</f>
        <v>0</v>
      </c>
      <c r="M13" s="96" t="str">
        <f>IFERROR(INDEX(Table_Specifications!$EC$12:$EK$12,MATCH($B$1,Table_Specifications!$EC$2:$EK$2,0)),"")</f>
        <v/>
      </c>
      <c r="N13" s="96" t="str">
        <f>IFERROR(INDEX(Table_Specifications!$EM$12:$EU$12,MATCH($B$1,Table_Specifications!$EM$2:$EU$2,0)),"")</f>
        <v/>
      </c>
      <c r="O13" s="96" t="str">
        <f>IFERROR(INDEX(Table_Specifications!$EW$12:$FE$12,MATCH($B$1,Table_Specifications!$EW$2:$FE$2,0)),"")</f>
        <v/>
      </c>
      <c r="P13" s="96" t="str">
        <f>IFERROR(INDEX(Table_Specifications!$FG$12:$FO$12,MATCH($B$1,Table_Specifications!$FG$2:$FO$2,0)),"")</f>
        <v/>
      </c>
      <c r="Q13" s="96" t="str">
        <f>IFERROR(INDEX(Table_Specifications!$FQ$12:$FY$12,MATCH($B$1,Table_Specifications!$FQ$2:$FY$2,0)),"")</f>
        <v/>
      </c>
    </row>
    <row r="14" spans="1:17" ht="19.95" hidden="1" customHeight="1" x14ac:dyDescent="0.3">
      <c r="A14" s="93">
        <f>Table_Specifications!A13</f>
        <v>11</v>
      </c>
      <c r="B14" s="141" t="str">
        <f>IF(Top_11="","",Top_11)</f>
        <v/>
      </c>
      <c r="C14" s="94">
        <f>IFERROR(INDEX(Table_Specifications!$E$13:$N$13,MATCH($B$1,Table_Specifications!$E$2:$N$2,0)),"")</f>
        <v>0</v>
      </c>
      <c r="D14" s="94">
        <f>IFERROR(INDEX(Table_Specifications!$P$13:$Y$13,MATCH($B$1,Table_Specifications!$P$2:$Y$2,0)),"")</f>
        <v>0</v>
      </c>
      <c r="E14" s="94">
        <f>IFERROR(INDEX(Table_Specifications!$AA$13:$AJ$13,MATCH($B$1,Table_Specifications!$AA$2:$AJ$2,0)),"")</f>
        <v>0</v>
      </c>
      <c r="F14" s="94">
        <f>IFERROR(INDEX(Table_Specifications!$AL$13:$AU$13,MATCH($B$1,Table_Specifications!$AL$2:$AU$2,0)),"")</f>
        <v>0</v>
      </c>
      <c r="G14" s="94">
        <f>IFERROR(INDEX(Table_Specifications!$AW$13:$BI$13,MATCH($B$1,Table_Specifications!$AW$2:$BI$2,0)),"")</f>
        <v>0</v>
      </c>
      <c r="H14" s="94">
        <f>IFERROR(INDEX(Table_Specifications!$BK$13:$BW$13,MATCH($B$1,Table_Specifications!$BK$2:$BW$2,0)),"")</f>
        <v>0</v>
      </c>
      <c r="I14" s="94">
        <f>IFERROR(INDEX(Table_Specifications!$BY$13:$CK$13,MATCH($B$1,Table_Specifications!$BY$2:$CK$2,0)),"")</f>
        <v>0</v>
      </c>
      <c r="J14" s="94">
        <f>IFERROR(INDEX(Table_Specifications!$CM$13:$CY$13,MATCH($B$1,Table_Specifications!$CM$2:$CY$2,0)),"")</f>
        <v>0</v>
      </c>
      <c r="K14" s="94">
        <f>IFERROR(INDEX(Table_Specifications!$DA$13:$DM$13,MATCH($B$1,Table_Specifications!$DA$2:$DM$2,0)),"")</f>
        <v>0</v>
      </c>
      <c r="L14" s="94">
        <f>IFERROR(INDEX(Table_Specifications!$DO$13:$EA$13,MATCH($B$1,Table_Specifications!$DO$2:$EA$2,0)),"")</f>
        <v>0</v>
      </c>
      <c r="M14" s="94" t="str">
        <f>IFERROR(INDEX(Table_Specifications!$EC$13:$EK$13,MATCH($B$1,Table_Specifications!$EC$2:$EK$2,0)),"")</f>
        <v/>
      </c>
      <c r="N14" s="94" t="str">
        <f>IFERROR(INDEX(Table_Specifications!$EM$13:$EU$13,MATCH($B$1,Table_Specifications!$EM$2:$EU$2,0)),"")</f>
        <v/>
      </c>
      <c r="O14" s="94" t="str">
        <f>IFERROR(INDEX(Table_Specifications!$EW$13:$FE$13,MATCH($B$1,Table_Specifications!$EW$2:$FE$2,0)),"")</f>
        <v/>
      </c>
      <c r="P14" s="94" t="str">
        <f>IFERROR(INDEX(Table_Specifications!$FG$13:$FO$13,MATCH($B$1,Table_Specifications!$FG$2:$FO$2,0)),"")</f>
        <v/>
      </c>
      <c r="Q14" s="94" t="str">
        <f>IFERROR(INDEX(Table_Specifications!$FQ$13:$FY$13,MATCH($B$1,Table_Specifications!$FQ$2:$FY$2,0)),"")</f>
        <v/>
      </c>
    </row>
    <row r="15" spans="1:17" ht="19.95" hidden="1" customHeight="1" x14ac:dyDescent="0.3">
      <c r="A15" s="95">
        <f>Table_Specifications!A14</f>
        <v>12</v>
      </c>
      <c r="B15" s="142" t="str">
        <f>IF(Top_12="","",Top_12)</f>
        <v/>
      </c>
      <c r="C15" s="96">
        <f>IFERROR(INDEX(Table_Specifications!$E$14:$N$14,MATCH($B$1,Table_Specifications!$E$2:$N$2,0)),"")</f>
        <v>0</v>
      </c>
      <c r="D15" s="96">
        <f>IFERROR(INDEX(Table_Specifications!$P$14:$Y$14,MATCH($B$1,Table_Specifications!$P$2:$Y$2,0)),"")</f>
        <v>0</v>
      </c>
      <c r="E15" s="96">
        <f>IFERROR(INDEX(Table_Specifications!$AA$14:$AJ$14,MATCH($B$1,Table_Specifications!$AA$2:$AJ$2,0)),"")</f>
        <v>0</v>
      </c>
      <c r="F15" s="96">
        <f>IFERROR(INDEX(Table_Specifications!$AL$14:$AU$14,MATCH($B$1,Table_Specifications!$AL$2:$AU$2,0)),"")</f>
        <v>0</v>
      </c>
      <c r="G15" s="96">
        <f>IFERROR(INDEX(Table_Specifications!$AW$14:$BI$14,MATCH($B$1,Table_Specifications!$AW$2:$BI$2,0)),"")</f>
        <v>0</v>
      </c>
      <c r="H15" s="96">
        <f>IFERROR(INDEX(Table_Specifications!$BK$14:$BW$14,MATCH($B$1,Table_Specifications!$BK$2:$BW$2,0)),"")</f>
        <v>0</v>
      </c>
      <c r="I15" s="96">
        <f>IFERROR(INDEX(Table_Specifications!$BY$14:$CK$14,MATCH($B$1,Table_Specifications!$BY$2:$CK$2,0)),"")</f>
        <v>0</v>
      </c>
      <c r="J15" s="96">
        <f>IFERROR(INDEX(Table_Specifications!$CM$14:$CY$14,MATCH($B$1,Table_Specifications!$CM$2:$CY$2,0)),"")</f>
        <v>0</v>
      </c>
      <c r="K15" s="96">
        <f>IFERROR(INDEX(Table_Specifications!$DA$14:$DM$14,MATCH($B$1,Table_Specifications!$DA$2:$DM$2,0)),"")</f>
        <v>0</v>
      </c>
      <c r="L15" s="96">
        <f>IFERROR(INDEX(Table_Specifications!$DO$14:$EA$14,MATCH($B$1,Table_Specifications!$DO$2:$EA$2,0)),"")</f>
        <v>0</v>
      </c>
      <c r="M15" s="96" t="str">
        <f>IFERROR(INDEX(Table_Specifications!$EC$14:$EK$14,MATCH($B$1,Table_Specifications!$EC$2:$EK$2,0)),"")</f>
        <v/>
      </c>
      <c r="N15" s="96" t="str">
        <f>IFERROR(INDEX(Table_Specifications!$EM$14:$EU$14,MATCH($B$1,Table_Specifications!$EM$2:$EU$2,0)),"")</f>
        <v/>
      </c>
      <c r="O15" s="96" t="str">
        <f>IFERROR(INDEX(Table_Specifications!$EW$14:$FE$14,MATCH($B$1,Table_Specifications!$EW$2:$FE$2,0)),"")</f>
        <v/>
      </c>
      <c r="P15" s="96" t="str">
        <f>IFERROR(INDEX(Table_Specifications!$FG$14:$FO$14,MATCH($B$1,Table_Specifications!$FG$2:$FO$2,0)),"")</f>
        <v/>
      </c>
      <c r="Q15" s="96" t="str">
        <f>IFERROR(INDEX(Table_Specifications!$FQ$14:$FY$14,MATCH($B$1,Table_Specifications!$FQ$2:$FY$2,0)),"")</f>
        <v/>
      </c>
    </row>
    <row r="16" spans="1:17" ht="19.95" hidden="1" customHeight="1" x14ac:dyDescent="0.3">
      <c r="A16" s="93">
        <f>Table_Specifications!A15</f>
        <v>13</v>
      </c>
      <c r="B16" s="141" t="str">
        <f>IF(Top_13="","",Top_13)</f>
        <v/>
      </c>
      <c r="C16" s="94">
        <f>IFERROR(INDEX(Table_Specifications!$E$15:$N$15,MATCH($B$1,Table_Specifications!$E$2:$N$2,0)),"")</f>
        <v>0</v>
      </c>
      <c r="D16" s="94">
        <f>IFERROR(INDEX(Table_Specifications!$P$15:$Y$15,MATCH($B$1,Table_Specifications!$P$2:$Y$2,0)),"")</f>
        <v>0</v>
      </c>
      <c r="E16" s="94">
        <f>IFERROR(INDEX(Table_Specifications!$AA$15:$AJ$15,MATCH($B$1,Table_Specifications!$AA$2:$AJ$2,0)),"")</f>
        <v>0</v>
      </c>
      <c r="F16" s="94">
        <f>IFERROR(INDEX(Table_Specifications!$AL$15:$AU$15,MATCH($B$1,Table_Specifications!$AL$2:$AU$2,0)),"")</f>
        <v>0</v>
      </c>
      <c r="G16" s="94">
        <f>IFERROR(INDEX(Table_Specifications!$AW$15:$BI$15,MATCH($B$1,Table_Specifications!$AW$2:$BI$2,0)),"")</f>
        <v>0</v>
      </c>
      <c r="H16" s="94">
        <f>IFERROR(INDEX(Table_Specifications!$BK$15:$BW$15,MATCH($B$1,Table_Specifications!$BK$2:$BW$2,0)),"")</f>
        <v>0</v>
      </c>
      <c r="I16" s="94">
        <f>IFERROR(INDEX(Table_Specifications!$BY$15:$CK$15,MATCH($B$1,Table_Specifications!$BY$2:$CK$2,0)),"")</f>
        <v>0</v>
      </c>
      <c r="J16" s="94">
        <f>IFERROR(INDEX(Table_Specifications!$CM$15:$CY$15,MATCH($B$1,Table_Specifications!$CM$2:$CY$2,0)),"")</f>
        <v>0</v>
      </c>
      <c r="K16" s="94">
        <f>IFERROR(INDEX(Table_Specifications!$DA$15:$DM$15,MATCH($B$1,Table_Specifications!$DA$2:$DM$2,0)),"")</f>
        <v>0</v>
      </c>
      <c r="L16" s="94">
        <f>IFERROR(INDEX(Table_Specifications!$DO$15:$EA$15,MATCH($B$1,Table_Specifications!$DO$2:$EA$2,0)),"")</f>
        <v>0</v>
      </c>
      <c r="M16" s="94" t="str">
        <f>IFERROR(INDEX(Table_Specifications!$EC$15:$EK$15,MATCH($B$1,Table_Specifications!$EC$2:$EK$2,0)),"")</f>
        <v/>
      </c>
      <c r="N16" s="94" t="str">
        <f>IFERROR(INDEX(Table_Specifications!$EM$15:$EU$15,MATCH($B$1,Table_Specifications!$EM$2:$EU$2,0)),"")</f>
        <v/>
      </c>
      <c r="O16" s="94" t="str">
        <f>IFERROR(INDEX(Table_Specifications!$EW$15:$FE$15,MATCH($B$1,Table_Specifications!$EW$2:$FE$2,0)),"")</f>
        <v/>
      </c>
      <c r="P16" s="94" t="str">
        <f>IFERROR(INDEX(Table_Specifications!$FG$15:$FO$15,MATCH($B$1,Table_Specifications!$FG$2:$FO$2,0)),"")</f>
        <v/>
      </c>
      <c r="Q16" s="94" t="str">
        <f>IFERROR(INDEX(Table_Specifications!$FQ$15:$FY$15,MATCH($B$1,Table_Specifications!$FQ$2:$FY$2,0)),"")</f>
        <v/>
      </c>
    </row>
    <row r="17" spans="1:17" ht="19.95" hidden="1" customHeight="1" x14ac:dyDescent="0.3">
      <c r="A17" s="95">
        <f>Table_Specifications!A16</f>
        <v>14</v>
      </c>
      <c r="B17" s="142" t="str">
        <f>IF(Top_14="","",Top_14)</f>
        <v/>
      </c>
      <c r="C17" s="96">
        <f>IFERROR(INDEX(Table_Specifications!$E$16:$N$16,MATCH($B$1,Table_Specifications!$E$2:$N$2,0)),"")</f>
        <v>0</v>
      </c>
      <c r="D17" s="96">
        <f>IFERROR(INDEX(Table_Specifications!$P$16:$Y$16,MATCH($B$1,Table_Specifications!$P$2:$Y$2,0)),"")</f>
        <v>0</v>
      </c>
      <c r="E17" s="96">
        <f>IFERROR(INDEX(Table_Specifications!$AA$16:$AJ$16,MATCH($B$1,Table_Specifications!$AA$2:$AJ$2,0)),"")</f>
        <v>0</v>
      </c>
      <c r="F17" s="96">
        <f>IFERROR(INDEX(Table_Specifications!$AL$16:$AU$16,MATCH($B$1,Table_Specifications!$AL$2:$AU$2,0)),"")</f>
        <v>0</v>
      </c>
      <c r="G17" s="96">
        <f>IFERROR(INDEX(Table_Specifications!$AW$16:$BI$16,MATCH($B$1,Table_Specifications!$AW$2:$BI$2,0)),"")</f>
        <v>0</v>
      </c>
      <c r="H17" s="96">
        <f>IFERROR(INDEX(Table_Specifications!$BK$16:$BW$16,MATCH($B$1,Table_Specifications!$BK$2:$BW$2,0)),"")</f>
        <v>0</v>
      </c>
      <c r="I17" s="96">
        <f>IFERROR(INDEX(Table_Specifications!$BY$16:$CK$16,MATCH($B$1,Table_Specifications!$BY$2:$CK$2,0)),"")</f>
        <v>0</v>
      </c>
      <c r="J17" s="96">
        <f>IFERROR(INDEX(Table_Specifications!$CM$16:$CY$16,MATCH($B$1,Table_Specifications!$CM$2:$CY$2,0)),"")</f>
        <v>0</v>
      </c>
      <c r="K17" s="96">
        <f>IFERROR(INDEX(Table_Specifications!$DA$16:$DM$16,MATCH($B$1,Table_Specifications!$DA$2:$DM$2,0)),"")</f>
        <v>0</v>
      </c>
      <c r="L17" s="96">
        <f>IFERROR(INDEX(Table_Specifications!$DO$16:$EA$16,MATCH($B$1,Table_Specifications!$DO$2:$EA$2,0)),"")</f>
        <v>0</v>
      </c>
      <c r="M17" s="96" t="str">
        <f>IFERROR(INDEX(Table_Specifications!$EC$16:$EK$16,MATCH($B$1,Table_Specifications!$EC$2:$EK$2,0)),"")</f>
        <v/>
      </c>
      <c r="N17" s="96" t="str">
        <f>IFERROR(INDEX(Table_Specifications!$EM$16:$EU$16,MATCH($B$1,Table_Specifications!$EM$2:$EU$2,0)),"")</f>
        <v/>
      </c>
      <c r="O17" s="96" t="str">
        <f>IFERROR(INDEX(Table_Specifications!$EW$16:$FE$16,MATCH($B$1,Table_Specifications!$EW$2:$FE$2,0)),"")</f>
        <v/>
      </c>
      <c r="P17" s="96" t="str">
        <f>IFERROR(INDEX(Table_Specifications!$FG$16:$FO$16,MATCH($B$1,Table_Specifications!$FG$2:$FO$2,0)),"")</f>
        <v/>
      </c>
      <c r="Q17" s="96" t="str">
        <f>IFERROR(INDEX(Table_Specifications!$FQ$16:$FY$16,MATCH($B$1,Table_Specifications!$FQ$2:$FY$2,0)),"")</f>
        <v/>
      </c>
    </row>
    <row r="18" spans="1:17" ht="19.95" hidden="1" customHeight="1" x14ac:dyDescent="0.3">
      <c r="A18" s="93">
        <f>Table_Specifications!A17</f>
        <v>15</v>
      </c>
      <c r="B18" s="141" t="str">
        <f>IF(Top_15="","",Top_15)</f>
        <v/>
      </c>
      <c r="C18" s="94">
        <f>IFERROR(INDEX(Table_Specifications!$E$17:$N$17,MATCH($B$1,Table_Specifications!$E$2:$N$2,0)),"")</f>
        <v>0</v>
      </c>
      <c r="D18" s="94">
        <f>IFERROR(INDEX(Table_Specifications!$P$17:$Y$17,MATCH($B$1,Table_Specifications!$P$2:$Y$2,0)),"")</f>
        <v>0</v>
      </c>
      <c r="E18" s="94">
        <f>IFERROR(INDEX(Table_Specifications!$AA$17:$AJ$17,MATCH($B$1,Table_Specifications!$AA$2:$AJ$2,0)),"")</f>
        <v>0</v>
      </c>
      <c r="F18" s="94">
        <f>IFERROR(INDEX(Table_Specifications!$AL$17:$AU$17,MATCH($B$1,Table_Specifications!$AL$2:$AU$2,0)),"")</f>
        <v>0</v>
      </c>
      <c r="G18" s="94">
        <f>IFERROR(INDEX(Table_Specifications!$AW$17:$BI$17,MATCH($B$1,Table_Specifications!$AW$2:$BI$2,0)),"")</f>
        <v>0</v>
      </c>
      <c r="H18" s="94">
        <f>IFERROR(INDEX(Table_Specifications!$BK$17:$BW$17,MATCH($B$1,Table_Specifications!$BK$2:$BW$2,0)),"")</f>
        <v>0</v>
      </c>
      <c r="I18" s="94">
        <f>IFERROR(INDEX(Table_Specifications!$BY$17:$CK$17,MATCH($B$1,Table_Specifications!$BY$2:$CK$2,0)),"")</f>
        <v>0</v>
      </c>
      <c r="J18" s="94">
        <f>IFERROR(INDEX(Table_Specifications!$CM$17:$CY$17,MATCH($B$1,Table_Specifications!$CM$2:$CY$2,0)),"")</f>
        <v>0</v>
      </c>
      <c r="K18" s="94">
        <f>IFERROR(INDEX(Table_Specifications!$DA$17:$DM$17,MATCH($B$1,Table_Specifications!$DA$2:$DM$2,0)),"")</f>
        <v>0</v>
      </c>
      <c r="L18" s="94">
        <f>IFERROR(INDEX(Table_Specifications!$DO$17:$EA$17,MATCH($B$1,Table_Specifications!$DO$2:$EA$2,0)),"")</f>
        <v>0</v>
      </c>
      <c r="M18" s="94" t="str">
        <f>IFERROR(INDEX(Table_Specifications!$EC$17:$EK$17,MATCH($B$1,Table_Specifications!$EC$2:$EK$2,0)),"")</f>
        <v/>
      </c>
      <c r="N18" s="94" t="str">
        <f>IFERROR(INDEX(Table_Specifications!$EM$17:$EU$17,MATCH($B$1,Table_Specifications!$EM$2:$EU$2,0)),"")</f>
        <v/>
      </c>
      <c r="O18" s="94" t="str">
        <f>IFERROR(INDEX(Table_Specifications!$EW$17:$FE$17,MATCH($B$1,Table_Specifications!$EW$2:$FE$2,0)),"")</f>
        <v/>
      </c>
      <c r="P18" s="94" t="str">
        <f>IFERROR(INDEX(Table_Specifications!$FG$17:$FO$17,MATCH($B$1,Table_Specifications!$FG$2:$FO$2,0)),"")</f>
        <v/>
      </c>
      <c r="Q18" s="94" t="str">
        <f>IFERROR(INDEX(Table_Specifications!$FQ$17:$FY$17,MATCH($B$1,Table_Specifications!$FQ$2:$FY$2,0)),"")</f>
        <v/>
      </c>
    </row>
    <row r="19" spans="1:17" ht="19.95" hidden="1" customHeight="1" x14ac:dyDescent="0.3">
      <c r="A19" s="95">
        <f>Table_Specifications!A18</f>
        <v>16</v>
      </c>
      <c r="B19" s="142" t="str">
        <f>IF(Top_16="","",Top_16)</f>
        <v/>
      </c>
      <c r="C19" s="96">
        <f>IFERROR(INDEX(Table_Specifications!$E$18:$N$18,MATCH($B$1,Table_Specifications!$E$2:$N$2,0)),"")</f>
        <v>0</v>
      </c>
      <c r="D19" s="96">
        <f>IFERROR(INDEX(Table_Specifications!$P$18:$Y$18,MATCH($B$1,Table_Specifications!$P$2:$Y$2,0)),"")</f>
        <v>0</v>
      </c>
      <c r="E19" s="96">
        <f>IFERROR(INDEX(Table_Specifications!$AA$18:$AJ$18,MATCH($B$1,Table_Specifications!$AA$2:$AJ$2,0)),"")</f>
        <v>0</v>
      </c>
      <c r="F19" s="96">
        <f>IFERROR(INDEX(Table_Specifications!$AL$18:$AU$18,MATCH($B$1,Table_Specifications!$AL$2:$AU$2,0)),"")</f>
        <v>0</v>
      </c>
      <c r="G19" s="96">
        <f>IFERROR(INDEX(Table_Specifications!$AW$18:$BI$18,MATCH($B$1,Table_Specifications!$AW$2:$BI$2,0)),"")</f>
        <v>0</v>
      </c>
      <c r="H19" s="96">
        <f>IFERROR(INDEX(Table_Specifications!$BK$18:$BW$18,MATCH($B$1,Table_Specifications!$BK$2:$BW$2,0)),"")</f>
        <v>0</v>
      </c>
      <c r="I19" s="96">
        <f>IFERROR(INDEX(Table_Specifications!$BY$18:$CK$18,MATCH($B$1,Table_Specifications!$BY$2:$CK$2,0)),"")</f>
        <v>0</v>
      </c>
      <c r="J19" s="96">
        <f>IFERROR(INDEX(Table_Specifications!$CM$18:$CY$18,MATCH($B$1,Table_Specifications!$CM$2:$CY$2,0)),"")</f>
        <v>0</v>
      </c>
      <c r="K19" s="96">
        <f>IFERROR(INDEX(Table_Specifications!$DA$18:$DM$18,MATCH($B$1,Table_Specifications!$DA$2:$DM$2,0)),"")</f>
        <v>0</v>
      </c>
      <c r="L19" s="96">
        <f>IFERROR(INDEX(Table_Specifications!$DO$18:$EA$18,MATCH($B$1,Table_Specifications!$DO$2:$EA$2,0)),"")</f>
        <v>0</v>
      </c>
      <c r="M19" s="96" t="str">
        <f>IFERROR(INDEX(Table_Specifications!$EC$18:$EK$18,MATCH($B$1,Table_Specifications!$EC$2:$EK$2,0)),"")</f>
        <v/>
      </c>
      <c r="N19" s="96" t="str">
        <f>IFERROR(INDEX(Table_Specifications!$EM$18:$EU$18,MATCH($B$1,Table_Specifications!$EM$2:$EU$2,0)),"")</f>
        <v/>
      </c>
      <c r="O19" s="96" t="str">
        <f>IFERROR(INDEX(Table_Specifications!$EW$18:$FE$18,MATCH($B$1,Table_Specifications!$EW$2:$FE$2,0)),"")</f>
        <v/>
      </c>
      <c r="P19" s="96" t="str">
        <f>IFERROR(INDEX(Table_Specifications!$FG$18:$FO$18,MATCH($B$1,Table_Specifications!$FG$2:$FO$2,0)),"")</f>
        <v/>
      </c>
      <c r="Q19" s="96" t="str">
        <f>IFERROR(INDEX(Table_Specifications!$FQ$18:$FY$18,MATCH($B$1,Table_Specifications!$FQ$2:$FY$2,0)),"")</f>
        <v/>
      </c>
    </row>
    <row r="20" spans="1:17" ht="19.95" hidden="1" customHeight="1" x14ac:dyDescent="0.3">
      <c r="A20" s="93">
        <f>Table_Specifications!A19</f>
        <v>17</v>
      </c>
      <c r="B20" s="141" t="str">
        <f>IF(Top_17="","",Top_17)</f>
        <v/>
      </c>
      <c r="C20" s="94">
        <f>IFERROR(INDEX(Table_Specifications!$E$19:$N$19,MATCH($B$1,Table_Specifications!$E$2:$N$2,0)),"")</f>
        <v>0</v>
      </c>
      <c r="D20" s="94">
        <f>IFERROR(INDEX(Table_Specifications!$P$19:$Y$19,MATCH($B$1,Table_Specifications!$P$2:$Y$2,0)),"")</f>
        <v>0</v>
      </c>
      <c r="E20" s="94">
        <f>IFERROR(INDEX(Table_Specifications!$AA$19:$AJ$19,MATCH($B$1,Table_Specifications!$AA$2:$AJ$2,0)),"")</f>
        <v>0</v>
      </c>
      <c r="F20" s="94">
        <f>IFERROR(INDEX(Table_Specifications!$AL$19:$AU$19,MATCH($B$1,Table_Specifications!$AL$2:$AU$2,0)),"")</f>
        <v>0</v>
      </c>
      <c r="G20" s="94">
        <f>IFERROR(INDEX(Table_Specifications!$AW$19:$BI$19,MATCH($B$1,Table_Specifications!$AW$2:$BI$2,0)),"")</f>
        <v>0</v>
      </c>
      <c r="H20" s="94">
        <f>IFERROR(INDEX(Table_Specifications!$BK$19:$BW$19,MATCH($B$1,Table_Specifications!$BK$2:$BW$2,0)),"")</f>
        <v>0</v>
      </c>
      <c r="I20" s="94">
        <f>IFERROR(INDEX(Table_Specifications!$BY$19:$CK$19,MATCH($B$1,Table_Specifications!$BY$2:$CK$2,0)),"")</f>
        <v>0</v>
      </c>
      <c r="J20" s="94">
        <f>IFERROR(INDEX(Table_Specifications!$CM$19:$CY$19,MATCH($B$1,Table_Specifications!$CM$2:$CY$2,0)),"")</f>
        <v>0</v>
      </c>
      <c r="K20" s="94">
        <f>IFERROR(INDEX(Table_Specifications!$DA$19:$DM$19,MATCH($B$1,Table_Specifications!$DA$2:$DM$2,0)),"")</f>
        <v>0</v>
      </c>
      <c r="L20" s="94">
        <f>IFERROR(INDEX(Table_Specifications!$DO$19:$EA$19,MATCH($B$1,Table_Specifications!$DO$2:$EA$2,0)),"")</f>
        <v>0</v>
      </c>
      <c r="M20" s="94" t="str">
        <f>IFERROR(INDEX(Table_Specifications!$EC$19:$EK$19,MATCH($B$1,Table_Specifications!$EC$2:$EK$2,0)),"")</f>
        <v/>
      </c>
      <c r="N20" s="94" t="str">
        <f>IFERROR(INDEX(Table_Specifications!$EM$19:$EU$19,MATCH($B$1,Table_Specifications!$EM$2:$EU$2,0)),"")</f>
        <v/>
      </c>
      <c r="O20" s="94" t="str">
        <f>IFERROR(INDEX(Table_Specifications!$EW$19:$FE$19,MATCH($B$1,Table_Specifications!$EW$2:$FE$2,0)),"")</f>
        <v/>
      </c>
      <c r="P20" s="94" t="str">
        <f>IFERROR(INDEX(Table_Specifications!$FG$19:$FO$19,MATCH($B$1,Table_Specifications!$FG$2:$FO$2,0)),"")</f>
        <v/>
      </c>
      <c r="Q20" s="94" t="str">
        <f>IFERROR(INDEX(Table_Specifications!$FQ$19:$FY$19,MATCH($B$1,Table_Specifications!$FQ$2:$FY$2,0)),"")</f>
        <v/>
      </c>
    </row>
    <row r="21" spans="1:17" ht="19.95" hidden="1" customHeight="1" x14ac:dyDescent="0.3">
      <c r="A21" s="95">
        <f>Table_Specifications!A20</f>
        <v>18</v>
      </c>
      <c r="B21" s="142" t="str">
        <f>IF(Top_18="","",Top_18)</f>
        <v/>
      </c>
      <c r="C21" s="96">
        <f>IFERROR(INDEX(Table_Specifications!$E$20:$N$20,MATCH($B$1,Table_Specifications!$E$2:$N$2,0)),"")</f>
        <v>0</v>
      </c>
      <c r="D21" s="96">
        <f>IFERROR(INDEX(Table_Specifications!$P$20:$Y$20,MATCH($B$1,Table_Specifications!$P$2:$Y$2,0)),"")</f>
        <v>0</v>
      </c>
      <c r="E21" s="96">
        <f>IFERROR(INDEX(Table_Specifications!$AA$20:$AJ$20,MATCH($B$1,Table_Specifications!$AA$2:$AJ$2,0)),"")</f>
        <v>0</v>
      </c>
      <c r="F21" s="96">
        <f>IFERROR(INDEX(Table_Specifications!$AL$20:$AU$20,MATCH($B$1,Table_Specifications!$AL$2:$AU$2,0)),"")</f>
        <v>0</v>
      </c>
      <c r="G21" s="96">
        <f>IFERROR(INDEX(Table_Specifications!$AW$20:$BI$20,MATCH($B$1,Table_Specifications!$AW$2:$BI$2,0)),"")</f>
        <v>0</v>
      </c>
      <c r="H21" s="96">
        <f>IFERROR(INDEX(Table_Specifications!$BK$20:$BW$20,MATCH($B$1,Table_Specifications!$BK$2:$BW$2,0)),"")</f>
        <v>0</v>
      </c>
      <c r="I21" s="96">
        <f>IFERROR(INDEX(Table_Specifications!$BY$20:$CK$20,MATCH($B$1,Table_Specifications!$BY$2:$CK$2,0)),"")</f>
        <v>0</v>
      </c>
      <c r="J21" s="96">
        <f>IFERROR(INDEX(Table_Specifications!$CM$20:$CY$20,MATCH($B$1,Table_Specifications!$CM$2:$CY$2,0)),"")</f>
        <v>0</v>
      </c>
      <c r="K21" s="96">
        <f>IFERROR(INDEX(Table_Specifications!$DA$20:$DM$20,MATCH($B$1,Table_Specifications!$DA$2:$DM$2,0)),"")</f>
        <v>0</v>
      </c>
      <c r="L21" s="96">
        <f>IFERROR(INDEX(Table_Specifications!$DO$20:$EA$20,MATCH($B$1,Table_Specifications!$DO$2:$EA$2,0)),"")</f>
        <v>0</v>
      </c>
      <c r="M21" s="96" t="str">
        <f>IFERROR(INDEX(Table_Specifications!$EC$20:$EK$20,MATCH($B$1,Table_Specifications!$EC$2:$EK$2,0)),"")</f>
        <v/>
      </c>
      <c r="N21" s="96" t="str">
        <f>IFERROR(INDEX(Table_Specifications!$EM$20:$EU$20,MATCH($B$1,Table_Specifications!$EM$2:$EU$2,0)),"")</f>
        <v/>
      </c>
      <c r="O21" s="96" t="str">
        <f>IFERROR(INDEX(Table_Specifications!$EW$20:$FE$20,MATCH($B$1,Table_Specifications!$EW$2:$FE$2,0)),"")</f>
        <v/>
      </c>
      <c r="P21" s="96" t="str">
        <f>IFERROR(INDEX(Table_Specifications!$FG$20:$FO$20,MATCH($B$1,Table_Specifications!$FG$2:$FO$2,0)),"")</f>
        <v/>
      </c>
      <c r="Q21" s="96" t="str">
        <f>IFERROR(INDEX(Table_Specifications!$FQ$20:$FY$20,MATCH($B$1,Table_Specifications!$FQ$2:$FY$2,0)),"")</f>
        <v/>
      </c>
    </row>
    <row r="22" spans="1:17" ht="19.95" hidden="1" customHeight="1" x14ac:dyDescent="0.3">
      <c r="A22" s="93">
        <f>Table_Specifications!A21</f>
        <v>19</v>
      </c>
      <c r="B22" s="141" t="str">
        <f>IF(Top_19="","",Top_19)</f>
        <v/>
      </c>
      <c r="C22" s="94">
        <f>IFERROR(INDEX(Table_Specifications!$E$21:$N$21,MATCH($B$1,Table_Specifications!$E$2:$N$2,0)),"")</f>
        <v>0</v>
      </c>
      <c r="D22" s="94">
        <f>IFERROR(INDEX(Table_Specifications!$P$21:$Y$21,MATCH($B$1,Table_Specifications!$P$2:$Y$2,0)),"")</f>
        <v>0</v>
      </c>
      <c r="E22" s="94">
        <f>IFERROR(INDEX(Table_Specifications!$AA$21:$AJ$21,MATCH($B$1,Table_Specifications!$AA$2:$AJ$2,0)),"")</f>
        <v>0</v>
      </c>
      <c r="F22" s="94">
        <f>IFERROR(INDEX(Table_Specifications!$AL$21:$AU$21,MATCH($B$1,Table_Specifications!$AL$2:$AU$2,0)),"")</f>
        <v>0</v>
      </c>
      <c r="G22" s="94">
        <f>IFERROR(INDEX(Table_Specifications!$AW$21:$BI$21,MATCH($B$1,Table_Specifications!$AW$2:$BI$2,0)),"")</f>
        <v>0</v>
      </c>
      <c r="H22" s="94">
        <f>IFERROR(INDEX(Table_Specifications!$BK$21:$BW$21,MATCH($B$1,Table_Specifications!$BK$2:$BW$2,0)),"")</f>
        <v>0</v>
      </c>
      <c r="I22" s="94">
        <f>IFERROR(INDEX(Table_Specifications!$BY$21:$CK$21,MATCH($B$1,Table_Specifications!$BY$2:$CK$2,0)),"")</f>
        <v>0</v>
      </c>
      <c r="J22" s="94">
        <f>IFERROR(INDEX(Table_Specifications!$CM$21:$CY$21,MATCH($B$1,Table_Specifications!$CM$2:$CY$2,0)),"")</f>
        <v>0</v>
      </c>
      <c r="K22" s="94">
        <f>IFERROR(INDEX(Table_Specifications!$DA$21:$DM$21,MATCH($B$1,Table_Specifications!$DA$2:$DM$2,0)),"")</f>
        <v>0</v>
      </c>
      <c r="L22" s="94">
        <f>IFERROR(INDEX(Table_Specifications!$DO$21:$EA$21,MATCH($B$1,Table_Specifications!$DO$2:$EA$2,0)),"")</f>
        <v>0</v>
      </c>
      <c r="M22" s="94" t="str">
        <f>IFERROR(INDEX(Table_Specifications!$EC$21:$EK$21,MATCH($B$1,Table_Specifications!$EC$2:$EK$2,0)),"")</f>
        <v/>
      </c>
      <c r="N22" s="94" t="str">
        <f>IFERROR(INDEX(Table_Specifications!$EM$21:$EU$21,MATCH($B$1,Table_Specifications!$EM$2:$EU$2,0)),"")</f>
        <v/>
      </c>
      <c r="O22" s="94" t="str">
        <f>IFERROR(INDEX(Table_Specifications!$EW$21:$FE$21,MATCH($B$1,Table_Specifications!$EW$2:$FE$2,0)),"")</f>
        <v/>
      </c>
      <c r="P22" s="94" t="str">
        <f>IFERROR(INDEX(Table_Specifications!$FG$21:$FO$21,MATCH($B$1,Table_Specifications!$FG$2:$FO$2,0)),"")</f>
        <v/>
      </c>
      <c r="Q22" s="94" t="str">
        <f>IFERROR(INDEX(Table_Specifications!$FQ$21:$FY$21,MATCH($B$1,Table_Specifications!$FQ$2:$FY$2,0)),"")</f>
        <v/>
      </c>
    </row>
    <row r="23" spans="1:17" ht="19.95" hidden="1" customHeight="1" x14ac:dyDescent="0.3">
      <c r="A23" s="95">
        <f>Table_Specifications!A22</f>
        <v>20</v>
      </c>
      <c r="B23" s="142" t="str">
        <f>IF(Top_20="","",Top_20)</f>
        <v/>
      </c>
      <c r="C23" s="96">
        <f>IFERROR(INDEX(Table_Specifications!$E$22:$N$22,MATCH($B$1,Table_Specifications!$E$2:$N$2,0)),"")</f>
        <v>0</v>
      </c>
      <c r="D23" s="96">
        <f>IFERROR(INDEX(Table_Specifications!$P$22:$Y$22,MATCH($B$1,Table_Specifications!$P$2:$Y$2,0)),"")</f>
        <v>0</v>
      </c>
      <c r="E23" s="96">
        <f>IFERROR(INDEX(Table_Specifications!$AA$22:$AJ$22,MATCH($B$1,Table_Specifications!$AA$2:$AJ$2,0)),"")</f>
        <v>0</v>
      </c>
      <c r="F23" s="96">
        <f>IFERROR(INDEX(Table_Specifications!$AL$22:$AU$22,MATCH($B$1,Table_Specifications!$AL$2:$AU$2,0)),"")</f>
        <v>0</v>
      </c>
      <c r="G23" s="96">
        <f>IFERROR(INDEX(Table_Specifications!$AW$22:$BI$22,MATCH($B$1,Table_Specifications!$AW$2:$BI$2,0)),"")</f>
        <v>0</v>
      </c>
      <c r="H23" s="96">
        <f>IFERROR(INDEX(Table_Specifications!$BK$22:$BW$22,MATCH($B$1,Table_Specifications!$BK$2:$BW$2,0)),"")</f>
        <v>0</v>
      </c>
      <c r="I23" s="96">
        <f>IFERROR(INDEX(Table_Specifications!$BY$22:$CK$22,MATCH($B$1,Table_Specifications!$BY$2:$CK$2,0)),"")</f>
        <v>0</v>
      </c>
      <c r="J23" s="96">
        <f>IFERROR(INDEX(Table_Specifications!$CM$22:$CY$22,MATCH($B$1,Table_Specifications!$CM$2:$CY$2,0)),"")</f>
        <v>0</v>
      </c>
      <c r="K23" s="96">
        <f>IFERROR(INDEX(Table_Specifications!$DA$22:$DM$22,MATCH($B$1,Table_Specifications!$DA$2:$DM$2,0)),"")</f>
        <v>0</v>
      </c>
      <c r="L23" s="96">
        <f>IFERROR(INDEX(Table_Specifications!$DO$22:$EA$22,MATCH($B$1,Table_Specifications!$DO$2:$EA$2,0)),"")</f>
        <v>0</v>
      </c>
      <c r="M23" s="96" t="str">
        <f>IFERROR(INDEX(Table_Specifications!$EC$22:$EK$22,MATCH($B$1,Table_Specifications!$EC$2:$EK$2,0)),"")</f>
        <v/>
      </c>
      <c r="N23" s="96" t="str">
        <f>IFERROR(INDEX(Table_Specifications!$EM$22:$EU$22,MATCH($B$1,Table_Specifications!$EM$2:$EU$2,0)),"")</f>
        <v/>
      </c>
      <c r="O23" s="96" t="str">
        <f>IFERROR(INDEX(Table_Specifications!$EW$22:$FE$22,MATCH($B$1,Table_Specifications!$EW$2:$FE$2,0)),"")</f>
        <v/>
      </c>
      <c r="P23" s="96" t="str">
        <f>IFERROR(INDEX(Table_Specifications!$FG$22:$FO$22,MATCH($B$1,Table_Specifications!$FG$2:$FO$2,0)),"")</f>
        <v/>
      </c>
      <c r="Q23" s="96" t="str">
        <f>IFERROR(INDEX(Table_Specifications!$FQ$22:$FY$22,MATCH($B$1,Table_Specifications!$FQ$2:$FY$2,0)),"")</f>
        <v/>
      </c>
    </row>
    <row r="24" spans="1:17" ht="19.95" hidden="1" customHeight="1" x14ac:dyDescent="0.3">
      <c r="A24" s="93">
        <f>Table_Specifications!A23</f>
        <v>21</v>
      </c>
      <c r="B24" s="141" t="str">
        <f>IF(Top_21="","",Top_21)</f>
        <v/>
      </c>
      <c r="C24" s="94">
        <f>IFERROR(INDEX(Table_Specifications!$E$23:$N$23,MATCH($B$1,Table_Specifications!$E$2:$N$2,0)),"")</f>
        <v>0</v>
      </c>
      <c r="D24" s="94">
        <f>IFERROR(INDEX(Table_Specifications!$P$23:$Y$23,MATCH($B$1,Table_Specifications!$P$2:$Y$2,0)),"")</f>
        <v>0</v>
      </c>
      <c r="E24" s="94">
        <f>IFERROR(INDEX(Table_Specifications!$AA$23:$AJ$23,MATCH($B$1,Table_Specifications!$AA$2:$AJ$2,0)),"")</f>
        <v>0</v>
      </c>
      <c r="F24" s="94">
        <f>IFERROR(INDEX(Table_Specifications!$AL$23:$AU$23,MATCH($B$1,Table_Specifications!$AL$2:$AU$2,0)),"")</f>
        <v>0</v>
      </c>
      <c r="G24" s="94">
        <f>IFERROR(INDEX(Table_Specifications!$AW$23:$BI$23,MATCH($B$1,Table_Specifications!$AW$2:$BI$2,0)),"")</f>
        <v>0</v>
      </c>
      <c r="H24" s="94">
        <f>IFERROR(INDEX(Table_Specifications!$BK$23:$BW$23,MATCH($B$1,Table_Specifications!$BK$2:$BW$2,0)),"")</f>
        <v>0</v>
      </c>
      <c r="I24" s="94">
        <f>IFERROR(INDEX(Table_Specifications!$BY$23:$CK$23,MATCH($B$1,Table_Specifications!$BY$2:$CK$2,0)),"")</f>
        <v>0</v>
      </c>
      <c r="J24" s="94">
        <f>IFERROR(INDEX(Table_Specifications!$CM$23:$CY$23,MATCH($B$1,Table_Specifications!$CM$2:$CY$2,0)),"")</f>
        <v>0</v>
      </c>
      <c r="K24" s="94">
        <f>IFERROR(INDEX(Table_Specifications!$DA$23:$DM$23,MATCH($B$1,Table_Specifications!$DA$2:$DM$2,0)),"")</f>
        <v>0</v>
      </c>
      <c r="L24" s="94">
        <f>IFERROR(INDEX(Table_Specifications!$DO$23:$EA$23,MATCH($B$1,Table_Specifications!$DO$2:$EA$2,0)),"")</f>
        <v>0</v>
      </c>
      <c r="M24" s="94" t="str">
        <f>IFERROR(INDEX(Table_Specifications!$EC$23:$EK$23,MATCH($B$1,Table_Specifications!$EC$2:$EK$2,0)),"")</f>
        <v/>
      </c>
      <c r="N24" s="94" t="str">
        <f>IFERROR(INDEX(Table_Specifications!$EM$23:$EU$23,MATCH($B$1,Table_Specifications!$EM$2:$EU$2,0)),"")</f>
        <v/>
      </c>
      <c r="O24" s="94" t="str">
        <f>IFERROR(INDEX(Table_Specifications!$EW$23:$FE$23,MATCH($B$1,Table_Specifications!$EW$2:$FE$2,0)),"")</f>
        <v/>
      </c>
      <c r="P24" s="94" t="str">
        <f>IFERROR(INDEX(Table_Specifications!$FG$23:$FO$23,MATCH($B$1,Table_Specifications!$FG$2:$FO$2,0)),"")</f>
        <v/>
      </c>
      <c r="Q24" s="94" t="str">
        <f>IFERROR(INDEX(Table_Specifications!$FQ$23:$FY$23,MATCH($B$1,Table_Specifications!$FQ$2:$FY$2,0)),"")</f>
        <v/>
      </c>
    </row>
    <row r="25" spans="1:17" ht="19.95" hidden="1" customHeight="1" x14ac:dyDescent="0.3">
      <c r="A25" s="95">
        <f>Table_Specifications!A24</f>
        <v>22</v>
      </c>
      <c r="B25" s="142" t="str">
        <f>IF(Top_22="","",Top_22)</f>
        <v/>
      </c>
      <c r="C25" s="96">
        <f>IFERROR(INDEX(Table_Specifications!$E$24:$N$24,MATCH($B$1,Table_Specifications!$E$2:$N$2,0)),"")</f>
        <v>0</v>
      </c>
      <c r="D25" s="96">
        <f>IFERROR(INDEX(Table_Specifications!$P$24:$Y$24,MATCH($B$1,Table_Specifications!$P$2:$Y$2,0)),"")</f>
        <v>0</v>
      </c>
      <c r="E25" s="96">
        <f>IFERROR(INDEX(Table_Specifications!$AA$24:$AJ$24,MATCH($B$1,Table_Specifications!$AA$2:$AJ$2,0)),"")</f>
        <v>0</v>
      </c>
      <c r="F25" s="96">
        <f>IFERROR(INDEX(Table_Specifications!$AL$24:$AU$24,MATCH($B$1,Table_Specifications!$AL$2:$AU$2,0)),"")</f>
        <v>0</v>
      </c>
      <c r="G25" s="96">
        <f>IFERROR(INDEX(Table_Specifications!$AW$24:$BI$24,MATCH($B$1,Table_Specifications!$AW$2:$BI$2,0)),"")</f>
        <v>0</v>
      </c>
      <c r="H25" s="96">
        <f>IFERROR(INDEX(Table_Specifications!$BK$24:$BW$24,MATCH($B$1,Table_Specifications!$BK$2:$BW$2,0)),"")</f>
        <v>0</v>
      </c>
      <c r="I25" s="96">
        <f>IFERROR(INDEX(Table_Specifications!$BY$24:$CK$24,MATCH($B$1,Table_Specifications!$BY$2:$CK$2,0)),"")</f>
        <v>0</v>
      </c>
      <c r="J25" s="96">
        <f>IFERROR(INDEX(Table_Specifications!$CM$24:$CY$24,MATCH($B$1,Table_Specifications!$CM$2:$CY$2,0)),"")</f>
        <v>0</v>
      </c>
      <c r="K25" s="96">
        <f>IFERROR(INDEX(Table_Specifications!$DA$24:$DM$24,MATCH($B$1,Table_Specifications!$DA$2:$DM$2,0)),"")</f>
        <v>0</v>
      </c>
      <c r="L25" s="96">
        <f>IFERROR(INDEX(Table_Specifications!$DO$24:$EA$24,MATCH($B$1,Table_Specifications!$DO$2:$EA$2,0)),"")</f>
        <v>0</v>
      </c>
      <c r="M25" s="96" t="str">
        <f>IFERROR(INDEX(Table_Specifications!$EC$24:$EK$24,MATCH($B$1,Table_Specifications!$EC$2:$EK$2,0)),"")</f>
        <v/>
      </c>
      <c r="N25" s="96" t="str">
        <f>IFERROR(INDEX(Table_Specifications!$EM$24:$EU$24,MATCH($B$1,Table_Specifications!$EM$2:$EU$2,0)),"")</f>
        <v/>
      </c>
      <c r="O25" s="96" t="str">
        <f>IFERROR(INDEX(Table_Specifications!$EW$24:$FE$24,MATCH($B$1,Table_Specifications!$EW$2:$FE$2,0)),"")</f>
        <v/>
      </c>
      <c r="P25" s="96" t="str">
        <f>IFERROR(INDEX(Table_Specifications!$FG$24:$FO$24,MATCH($B$1,Table_Specifications!$FG$2:$FO$2,0)),"")</f>
        <v/>
      </c>
      <c r="Q25" s="96" t="str">
        <f>IFERROR(INDEX(Table_Specifications!$FQ$24:$FY$24,MATCH($B$1,Table_Specifications!$FQ$2:$FY$2,0)),"")</f>
        <v/>
      </c>
    </row>
    <row r="26" spans="1:17" ht="19.95" hidden="1" customHeight="1" x14ac:dyDescent="0.3">
      <c r="A26" s="93">
        <f>Table_Specifications!A25</f>
        <v>23</v>
      </c>
      <c r="B26" s="141" t="str">
        <f>IF(Top_23="","",Top_23)</f>
        <v/>
      </c>
      <c r="C26" s="94">
        <f>IFERROR(INDEX(Table_Specifications!$E$25:$N$25,MATCH($B$1,Table_Specifications!$E$2:$N$2,0)),"")</f>
        <v>0</v>
      </c>
      <c r="D26" s="94">
        <f>IFERROR(INDEX(Table_Specifications!$P$25:$Y$25,MATCH($B$1,Table_Specifications!$P$2:$Y$2,0)),"")</f>
        <v>0</v>
      </c>
      <c r="E26" s="94">
        <f>IFERROR(INDEX(Table_Specifications!$AA$25:$AJ$25,MATCH($B$1,Table_Specifications!$AA$2:$AJ$2,0)),"")</f>
        <v>0</v>
      </c>
      <c r="F26" s="94">
        <f>IFERROR(INDEX(Table_Specifications!$AL$25:$AU$25,MATCH($B$1,Table_Specifications!$AL$2:$AU$2,0)),"")</f>
        <v>0</v>
      </c>
      <c r="G26" s="94">
        <f>IFERROR(INDEX(Table_Specifications!$AW$25:$BI$25,MATCH($B$1,Table_Specifications!$AW$2:$BI$2,0)),"")</f>
        <v>0</v>
      </c>
      <c r="H26" s="94">
        <f>IFERROR(INDEX(Table_Specifications!$BK$25:$BW$25,MATCH($B$1,Table_Specifications!$BK$2:$BW$2,0)),"")</f>
        <v>0</v>
      </c>
      <c r="I26" s="94">
        <f>IFERROR(INDEX(Table_Specifications!$BY$25:$CK$25,MATCH($B$1,Table_Specifications!$BY$2:$CK$2,0)),"")</f>
        <v>0</v>
      </c>
      <c r="J26" s="94">
        <f>IFERROR(INDEX(Table_Specifications!$CM$25:$CY$25,MATCH($B$1,Table_Specifications!$CM$2:$CY$2,0)),"")</f>
        <v>0</v>
      </c>
      <c r="K26" s="94">
        <f>IFERROR(INDEX(Table_Specifications!$DA$25:$DM$25,MATCH($B$1,Table_Specifications!$DA$2:$DM$2,0)),"")</f>
        <v>0</v>
      </c>
      <c r="L26" s="94">
        <f>IFERROR(INDEX(Table_Specifications!$DO$25:$EA$25,MATCH($B$1,Table_Specifications!$DO$2:$EA$2,0)),"")</f>
        <v>0</v>
      </c>
      <c r="M26" s="94" t="str">
        <f>IFERROR(INDEX(Table_Specifications!$EC$25:$EK$25,MATCH($B$1,Table_Specifications!$EC$2:$EK$2,0)),"")</f>
        <v/>
      </c>
      <c r="N26" s="94" t="str">
        <f>IFERROR(INDEX(Table_Specifications!$EM$25:$EU$25,MATCH($B$1,Table_Specifications!$EM$2:$EU$2,0)),"")</f>
        <v/>
      </c>
      <c r="O26" s="94" t="str">
        <f>IFERROR(INDEX(Table_Specifications!$EW$25:$FE$25,MATCH($B$1,Table_Specifications!$EW$2:$FE$2,0)),"")</f>
        <v/>
      </c>
      <c r="P26" s="94" t="str">
        <f>IFERROR(INDEX(Table_Specifications!$FG$25:$FO$25,MATCH($B$1,Table_Specifications!$FG$2:$FO$2,0)),"")</f>
        <v/>
      </c>
      <c r="Q26" s="94" t="str">
        <f>IFERROR(INDEX(Table_Specifications!$FQ$25:$FY$25,MATCH($B$1,Table_Specifications!$FQ$2:$FY$2,0)),"")</f>
        <v/>
      </c>
    </row>
    <row r="27" spans="1:17" ht="19.95" hidden="1" customHeight="1" x14ac:dyDescent="0.3">
      <c r="A27" s="95">
        <f>Table_Specifications!A26</f>
        <v>24</v>
      </c>
      <c r="B27" s="142" t="str">
        <f>IF(Top_24="","",Top_24)</f>
        <v/>
      </c>
      <c r="C27" s="96">
        <f>IFERROR(INDEX(Table_Specifications!$E$26:$N$26,MATCH($B$1,Table_Specifications!$E$2:$N$2,0)),"")</f>
        <v>0</v>
      </c>
      <c r="D27" s="96">
        <f>IFERROR(INDEX(Table_Specifications!$P$26:$Y$26,MATCH($B$1,Table_Specifications!$P$2:$Y$2,0)),"")</f>
        <v>0</v>
      </c>
      <c r="E27" s="96">
        <f>IFERROR(INDEX(Table_Specifications!$AA$26:$AJ$26,MATCH($B$1,Table_Specifications!$AA$2:$AJ$2,0)),"")</f>
        <v>0</v>
      </c>
      <c r="F27" s="96">
        <f>IFERROR(INDEX(Table_Specifications!$AL$26:$AU$26,MATCH($B$1,Table_Specifications!$AL$2:$AU$2,0)),"")</f>
        <v>0</v>
      </c>
      <c r="G27" s="96">
        <f>IFERROR(INDEX(Table_Specifications!$AW$26:$BI$26,MATCH($B$1,Table_Specifications!$AW$2:$BI$2,0)),"")</f>
        <v>0</v>
      </c>
      <c r="H27" s="96">
        <f>IFERROR(INDEX(Table_Specifications!$BK$26:$BW$26,MATCH($B$1,Table_Specifications!$BK$2:$BW$2,0)),"")</f>
        <v>0</v>
      </c>
      <c r="I27" s="96">
        <f>IFERROR(INDEX(Table_Specifications!$BY$26:$CK$26,MATCH($B$1,Table_Specifications!$BY$2:$CK$2,0)),"")</f>
        <v>0</v>
      </c>
      <c r="J27" s="96">
        <f>IFERROR(INDEX(Table_Specifications!$CM$26:$CY$26,MATCH($B$1,Table_Specifications!$CM$2:$CY$2,0)),"")</f>
        <v>0</v>
      </c>
      <c r="K27" s="96">
        <f>IFERROR(INDEX(Table_Specifications!$DA$26:$DM$26,MATCH($B$1,Table_Specifications!$DA$2:$DM$2,0)),"")</f>
        <v>0</v>
      </c>
      <c r="L27" s="96">
        <f>IFERROR(INDEX(Table_Specifications!$DO$26:$EA$26,MATCH($B$1,Table_Specifications!$DO$2:$EA$2,0)),"")</f>
        <v>0</v>
      </c>
      <c r="M27" s="96" t="str">
        <f>IFERROR(INDEX(Table_Specifications!$EC$26:$EK$26,MATCH($B$1,Table_Specifications!$EC$2:$EK$2,0)),"")</f>
        <v/>
      </c>
      <c r="N27" s="96" t="str">
        <f>IFERROR(INDEX(Table_Specifications!$EM$26:$EU$26,MATCH($B$1,Table_Specifications!$EM$2:$EU$2,0)),"")</f>
        <v/>
      </c>
      <c r="O27" s="96" t="str">
        <f>IFERROR(INDEX(Table_Specifications!$EW$26:$FE$26,MATCH($B$1,Table_Specifications!$EW$2:$FE$2,0)),"")</f>
        <v/>
      </c>
      <c r="P27" s="96" t="str">
        <f>IFERROR(INDEX(Table_Specifications!$FG$26:$FO$26,MATCH($B$1,Table_Specifications!$FG$2:$FO$2,0)),"")</f>
        <v/>
      </c>
      <c r="Q27" s="96" t="str">
        <f>IFERROR(INDEX(Table_Specifications!$FQ$26:$FY$26,MATCH($B$1,Table_Specifications!$FQ$2:$FY$2,0)),"")</f>
        <v/>
      </c>
    </row>
    <row r="28" spans="1:17" ht="19.95" hidden="1" customHeight="1" x14ac:dyDescent="0.3">
      <c r="A28" s="93">
        <f>Table_Specifications!A27</f>
        <v>25</v>
      </c>
      <c r="B28" s="141" t="str">
        <f>IF(Top_25="","",Top_25)</f>
        <v/>
      </c>
      <c r="C28" s="94">
        <f>IFERROR(INDEX(Table_Specifications!$E$27:$N$27,MATCH($B$1,Table_Specifications!$E$2:$N$2,0)),"")</f>
        <v>0</v>
      </c>
      <c r="D28" s="94">
        <f>IFERROR(INDEX(Table_Specifications!$P$27:$Y$27,MATCH($B$1,Table_Specifications!$P$2:$Y$2,0)),"")</f>
        <v>0</v>
      </c>
      <c r="E28" s="94">
        <f>IFERROR(INDEX(Table_Specifications!$AA$27:$AJ$27,MATCH($B$1,Table_Specifications!$AA$2:$AJ$2,0)),"")</f>
        <v>0</v>
      </c>
      <c r="F28" s="94">
        <f>IFERROR(INDEX(Table_Specifications!$AL$27:$AU$27,MATCH($B$1,Table_Specifications!$AL$2:$AU$2,0)),"")</f>
        <v>0</v>
      </c>
      <c r="G28" s="94">
        <f>IFERROR(INDEX(Table_Specifications!$AW$27:$BI$27,MATCH($B$1,Table_Specifications!$AW$2:$BI$2,0)),"")</f>
        <v>0</v>
      </c>
      <c r="H28" s="94">
        <f>IFERROR(INDEX(Table_Specifications!$BK$27:$BW$27,MATCH($B$1,Table_Specifications!$BK$2:$BW$2,0)),"")</f>
        <v>0</v>
      </c>
      <c r="I28" s="94">
        <f>IFERROR(INDEX(Table_Specifications!$BY$27:$CK$27,MATCH($B$1,Table_Specifications!$BY$2:$CK$2,0)),"")</f>
        <v>0</v>
      </c>
      <c r="J28" s="94">
        <f>IFERROR(INDEX(Table_Specifications!$CM$27:$CY$27,MATCH($B$1,Table_Specifications!$CM$2:$CY$2,0)),"")</f>
        <v>0</v>
      </c>
      <c r="K28" s="94">
        <f>IFERROR(INDEX(Table_Specifications!$DA$27:$DM$27,MATCH($B$1,Table_Specifications!$DA$2:$DM$2,0)),"")</f>
        <v>0</v>
      </c>
      <c r="L28" s="94">
        <f>IFERROR(INDEX(Table_Specifications!$DO$27:$EA$27,MATCH($B$1,Table_Specifications!$DO$2:$EA$2,0)),"")</f>
        <v>0</v>
      </c>
      <c r="M28" s="94" t="str">
        <f>IFERROR(INDEX(Table_Specifications!$EC$27:$EK$27,MATCH($B$1,Table_Specifications!$EC$2:$EK$2,0)),"")</f>
        <v/>
      </c>
      <c r="N28" s="94" t="str">
        <f>IFERROR(INDEX(Table_Specifications!$EM$27:$EU$27,MATCH($B$1,Table_Specifications!$EM$2:$EU$2,0)),"")</f>
        <v/>
      </c>
      <c r="O28" s="94" t="str">
        <f>IFERROR(INDEX(Table_Specifications!$EW$27:$FE$27,MATCH($B$1,Table_Specifications!$EW$2:$FE$2,0)),"")</f>
        <v/>
      </c>
      <c r="P28" s="94" t="str">
        <f>IFERROR(INDEX(Table_Specifications!$FG$27:$FO$27,MATCH($B$1,Table_Specifications!$FG$2:$FO$2,0)),"")</f>
        <v/>
      </c>
      <c r="Q28" s="94" t="str">
        <f>IFERROR(INDEX(Table_Specifications!$FQ$27:$FY$27,MATCH($B$1,Table_Specifications!$FQ$2:$FY$2,0)),"")</f>
        <v/>
      </c>
    </row>
    <row r="29" spans="1:17" ht="19.95" hidden="1" customHeight="1" x14ac:dyDescent="0.3">
      <c r="A29" s="95">
        <f>Table_Specifications!A28</f>
        <v>26</v>
      </c>
      <c r="B29" s="142" t="str">
        <f>IF(Top_26="","",Top_26)</f>
        <v/>
      </c>
      <c r="C29" s="96">
        <f>IFERROR(INDEX(Table_Specifications!$E$28:$N$28,MATCH($B$1,Table_Specifications!$E$2:$N$2,0)),"")</f>
        <v>0</v>
      </c>
      <c r="D29" s="96">
        <f>IFERROR(INDEX(Table_Specifications!$P$28:$Y$28,MATCH($B$1,Table_Specifications!$P$2:$Y$2,0)),"")</f>
        <v>0</v>
      </c>
      <c r="E29" s="96">
        <f>IFERROR(INDEX(Table_Specifications!$AA$28:$AJ$28,MATCH($B$1,Table_Specifications!$AA$2:$AJ$2,0)),"")</f>
        <v>0</v>
      </c>
      <c r="F29" s="96">
        <f>IFERROR(INDEX(Table_Specifications!$AL$28:$AU$28,MATCH($B$1,Table_Specifications!$AL$2:$AU$2,0)),"")</f>
        <v>0</v>
      </c>
      <c r="G29" s="96">
        <f>IFERROR(INDEX(Table_Specifications!$AW$28:$BI$28,MATCH($B$1,Table_Specifications!$AW$2:$BI$2,0)),"")</f>
        <v>0</v>
      </c>
      <c r="H29" s="96">
        <f>IFERROR(INDEX(Table_Specifications!$BK$28:$BW$28,MATCH($B$1,Table_Specifications!$BK$2:$BW$2,0)),"")</f>
        <v>0</v>
      </c>
      <c r="I29" s="96">
        <f>IFERROR(INDEX(Table_Specifications!$BY$28:$CK$28,MATCH($B$1,Table_Specifications!$BY$2:$CK$2,0)),"")</f>
        <v>0</v>
      </c>
      <c r="J29" s="96">
        <f>IFERROR(INDEX(Table_Specifications!$CM$28:$CY$28,MATCH($B$1,Table_Specifications!$CM$2:$CY$2,0)),"")</f>
        <v>0</v>
      </c>
      <c r="K29" s="96">
        <f>IFERROR(INDEX(Table_Specifications!$DA$28:$DM$28,MATCH($B$1,Table_Specifications!$DA$2:$DM$2,0)),"")</f>
        <v>0</v>
      </c>
      <c r="L29" s="96">
        <f>IFERROR(INDEX(Table_Specifications!$DO$28:$EA$28,MATCH($B$1,Table_Specifications!$DO$2:$EA$2,0)),"")</f>
        <v>0</v>
      </c>
      <c r="M29" s="96" t="str">
        <f>IFERROR(INDEX(Table_Specifications!$EC$28:$EK$28,MATCH($B$1,Table_Specifications!$EC$2:$EK$2,0)),"")</f>
        <v/>
      </c>
      <c r="N29" s="96" t="str">
        <f>IFERROR(INDEX(Table_Specifications!$EM$28:$EU$28,MATCH($B$1,Table_Specifications!$EM$2:$EU$2,0)),"")</f>
        <v/>
      </c>
      <c r="O29" s="96" t="str">
        <f>IFERROR(INDEX(Table_Specifications!$EW$28:$FE$28,MATCH($B$1,Table_Specifications!$EW$2:$FE$2,0)),"")</f>
        <v/>
      </c>
      <c r="P29" s="96" t="str">
        <f>IFERROR(INDEX(Table_Specifications!$FG$28:$FO$28,MATCH($B$1,Table_Specifications!$FG$2:$FO$2,0)),"")</f>
        <v/>
      </c>
      <c r="Q29" s="96" t="str">
        <f>IFERROR(INDEX(Table_Specifications!$FQ$28:$FY$28,MATCH($B$1,Table_Specifications!$FQ$2:$FY$2,0)),"")</f>
        <v/>
      </c>
    </row>
    <row r="30" spans="1:17" ht="19.95" hidden="1" customHeight="1" x14ac:dyDescent="0.3">
      <c r="A30" s="93">
        <f>Table_Specifications!A29</f>
        <v>27</v>
      </c>
      <c r="B30" s="141" t="str">
        <f>IF(Top_27="","",Top_27)</f>
        <v/>
      </c>
      <c r="C30" s="94">
        <f>IFERROR(INDEX(Table_Specifications!$E$29:$N$29,MATCH($B$1,Table_Specifications!$E$2:$N$2,0)),"")</f>
        <v>0</v>
      </c>
      <c r="D30" s="94">
        <f>IFERROR(INDEX(Table_Specifications!$P$29:$Y$29,MATCH($B$1,Table_Specifications!$P$2:$Y$2,0)),"")</f>
        <v>0</v>
      </c>
      <c r="E30" s="94">
        <f>IFERROR(INDEX(Table_Specifications!$AA$29:$AJ$29,MATCH($B$1,Table_Specifications!$AA$2:$AJ$2,0)),"")</f>
        <v>0</v>
      </c>
      <c r="F30" s="94">
        <f>IFERROR(INDEX(Table_Specifications!$AL$29:$AU$29,MATCH($B$1,Table_Specifications!$AL$2:$AU$2,0)),"")</f>
        <v>0</v>
      </c>
      <c r="G30" s="94">
        <f>IFERROR(INDEX(Table_Specifications!$AW$29:$BI$29,MATCH($B$1,Table_Specifications!$AW$2:$BI$2,0)),"")</f>
        <v>0</v>
      </c>
      <c r="H30" s="94">
        <f>IFERROR(INDEX(Table_Specifications!$BK$29:$BW$29,MATCH($B$1,Table_Specifications!$BK$2:$BW$2,0)),"")</f>
        <v>0</v>
      </c>
      <c r="I30" s="94">
        <f>IFERROR(INDEX(Table_Specifications!$BY$29:$CK$29,MATCH($B$1,Table_Specifications!$BY$2:$CK$2,0)),"")</f>
        <v>0</v>
      </c>
      <c r="J30" s="94">
        <f>IFERROR(INDEX(Table_Specifications!$CM$29:$CY$29,MATCH($B$1,Table_Specifications!$CM$2:$CY$2,0)),"")</f>
        <v>0</v>
      </c>
      <c r="K30" s="94">
        <f>IFERROR(INDEX(Table_Specifications!$DA$29:$DM$29,MATCH($B$1,Table_Specifications!$DA$2:$DM$2,0)),"")</f>
        <v>0</v>
      </c>
      <c r="L30" s="94">
        <f>IFERROR(INDEX(Table_Specifications!$DO$29:$EA$29,MATCH($B$1,Table_Specifications!$DO$2:$EA$2,0)),"")</f>
        <v>0</v>
      </c>
      <c r="M30" s="94" t="str">
        <f>IFERROR(INDEX(Table_Specifications!$EC$29:$EK$29,MATCH($B$1,Table_Specifications!$EC$2:$EK$2,0)),"")</f>
        <v/>
      </c>
      <c r="N30" s="94" t="str">
        <f>IFERROR(INDEX(Table_Specifications!$EM$29:$EU$29,MATCH($B$1,Table_Specifications!$EM$2:$EU$2,0)),"")</f>
        <v/>
      </c>
      <c r="O30" s="94" t="str">
        <f>IFERROR(INDEX(Table_Specifications!$EW$29:$FE$29,MATCH($B$1,Table_Specifications!$EW$2:$FE$2,0)),"")</f>
        <v/>
      </c>
      <c r="P30" s="94" t="str">
        <f>IFERROR(INDEX(Table_Specifications!$FG$29:$FO$29,MATCH($B$1,Table_Specifications!$FG$2:$FO$2,0)),"")</f>
        <v/>
      </c>
      <c r="Q30" s="94" t="str">
        <f>IFERROR(INDEX(Table_Specifications!$FQ$29:$FY$29,MATCH($B$1,Table_Specifications!$FQ$2:$FY$2,0)),"")</f>
        <v/>
      </c>
    </row>
    <row r="31" spans="1:17" ht="19.95" hidden="1" customHeight="1" x14ac:dyDescent="0.3">
      <c r="A31" s="95">
        <f>Table_Specifications!A30</f>
        <v>28</v>
      </c>
      <c r="B31" s="142" t="str">
        <f>IF(Top_28="","",Top_28)</f>
        <v/>
      </c>
      <c r="C31" s="96">
        <f>IFERROR(INDEX(Table_Specifications!$E$30:$N$30,MATCH($B$1,Table_Specifications!$E$2:$N$2,0)),"")</f>
        <v>0</v>
      </c>
      <c r="D31" s="96">
        <f>IFERROR(INDEX(Table_Specifications!$P$30:$Y$30,MATCH($B$1,Table_Specifications!$P$2:$Y$2,0)),"")</f>
        <v>0</v>
      </c>
      <c r="E31" s="96">
        <f>IFERROR(INDEX(Table_Specifications!$AA$30:$AJ$30,MATCH($B$1,Table_Specifications!$AA$2:$AJ$2,0)),"")</f>
        <v>0</v>
      </c>
      <c r="F31" s="96">
        <f>IFERROR(INDEX(Table_Specifications!$AL$30:$AU$30,MATCH($B$1,Table_Specifications!$AL$2:$AU$2,0)),"")</f>
        <v>0</v>
      </c>
      <c r="G31" s="96">
        <f>IFERROR(INDEX(Table_Specifications!$AW$30:$BI$30,MATCH($B$1,Table_Specifications!$AW$2:$BI$2,0)),"")</f>
        <v>0</v>
      </c>
      <c r="H31" s="96">
        <f>IFERROR(INDEX(Table_Specifications!$BK$30:$BW$30,MATCH($B$1,Table_Specifications!$BK$2:$BW$2,0)),"")</f>
        <v>0</v>
      </c>
      <c r="I31" s="96">
        <f>IFERROR(INDEX(Table_Specifications!$BY$30:$CK$30,MATCH($B$1,Table_Specifications!$BY$2:$CK$2,0)),"")</f>
        <v>0</v>
      </c>
      <c r="J31" s="96">
        <f>IFERROR(INDEX(Table_Specifications!$CM$30:$CY$30,MATCH($B$1,Table_Specifications!$CM$2:$CY$2,0)),"")</f>
        <v>0</v>
      </c>
      <c r="K31" s="96">
        <f>IFERROR(INDEX(Table_Specifications!$DA$30:$DM$30,MATCH($B$1,Table_Specifications!$DA$2:$DM$2,0)),"")</f>
        <v>0</v>
      </c>
      <c r="L31" s="96">
        <f>IFERROR(INDEX(Table_Specifications!$DO$30:$EA$30,MATCH($B$1,Table_Specifications!$DO$2:$EA$2,0)),"")</f>
        <v>0</v>
      </c>
      <c r="M31" s="96" t="str">
        <f>IFERROR(INDEX(Table_Specifications!$EC$30:$EK$30,MATCH($B$1,Table_Specifications!$EC$2:$EK$2,0)),"")</f>
        <v/>
      </c>
      <c r="N31" s="96" t="str">
        <f>IFERROR(INDEX(Table_Specifications!$EM$30:$EU$30,MATCH($B$1,Table_Specifications!$EM$2:$EU$2,0)),"")</f>
        <v/>
      </c>
      <c r="O31" s="96" t="str">
        <f>IFERROR(INDEX(Table_Specifications!$EW$30:$FE$30,MATCH($B$1,Table_Specifications!$EW$2:$FE$2,0)),"")</f>
        <v/>
      </c>
      <c r="P31" s="96" t="str">
        <f>IFERROR(INDEX(Table_Specifications!$FG$30:$FO$30,MATCH($B$1,Table_Specifications!$FG$2:$FO$2,0)),"")</f>
        <v/>
      </c>
      <c r="Q31" s="96" t="str">
        <f>IFERROR(INDEX(Table_Specifications!$FQ$30:$FY$30,MATCH($B$1,Table_Specifications!$FQ$2:$FY$2,0)),"")</f>
        <v/>
      </c>
    </row>
    <row r="32" spans="1:17" ht="19.95" hidden="1" customHeight="1" x14ac:dyDescent="0.3">
      <c r="A32" s="93">
        <f>Table_Specifications!A31</f>
        <v>29</v>
      </c>
      <c r="B32" s="141" t="str">
        <f>IF(Top_29="","",Top_29)</f>
        <v/>
      </c>
      <c r="C32" s="94">
        <f>IFERROR(INDEX(Table_Specifications!$E$31:$N$31,MATCH($B$1,Table_Specifications!$E$2:$N$2,0)),"")</f>
        <v>0</v>
      </c>
      <c r="D32" s="94">
        <f>IFERROR(INDEX(Table_Specifications!$P$31:$Y$31,MATCH($B$1,Table_Specifications!$P$2:$Y$2,0)),"")</f>
        <v>0</v>
      </c>
      <c r="E32" s="94">
        <f>IFERROR(INDEX(Table_Specifications!$AA$31:$AJ$31,MATCH($B$1,Table_Specifications!$AA$2:$AJ$2,0)),"")</f>
        <v>0</v>
      </c>
      <c r="F32" s="94">
        <f>IFERROR(INDEX(Table_Specifications!$AL$31:$AU$31,MATCH($B$1,Table_Specifications!$AL$2:$AU$2,0)),"")</f>
        <v>0</v>
      </c>
      <c r="G32" s="94">
        <f>IFERROR(INDEX(Table_Specifications!$AW$31:$BI$31,MATCH($B$1,Table_Specifications!$AW$2:$BI$2,0)),"")</f>
        <v>0</v>
      </c>
      <c r="H32" s="94">
        <f>IFERROR(INDEX(Table_Specifications!$BK$31:$BW$31,MATCH($B$1,Table_Specifications!$BK$2:$BW$2,0)),"")</f>
        <v>0</v>
      </c>
      <c r="I32" s="94">
        <f>IFERROR(INDEX(Table_Specifications!$BY$31:$CK$31,MATCH($B$1,Table_Specifications!$BY$2:$CK$2,0)),"")</f>
        <v>0</v>
      </c>
      <c r="J32" s="94">
        <f>IFERROR(INDEX(Table_Specifications!$CM$31:$CY$31,MATCH($B$1,Table_Specifications!$CM$2:$CY$2,0)),"")</f>
        <v>0</v>
      </c>
      <c r="K32" s="94">
        <f>IFERROR(INDEX(Table_Specifications!$DA$31:$DM$31,MATCH($B$1,Table_Specifications!$DA$2:$DM$2,0)),"")</f>
        <v>0</v>
      </c>
      <c r="L32" s="94">
        <f>IFERROR(INDEX(Table_Specifications!$DO$31:$EA$31,MATCH($B$1,Table_Specifications!$DO$2:$EA$2,0)),"")</f>
        <v>0</v>
      </c>
      <c r="M32" s="94" t="str">
        <f>IFERROR(INDEX(Table_Specifications!$EC$31:$EK$31,MATCH($B$1,Table_Specifications!$EC$2:$EK$2,0)),"")</f>
        <v/>
      </c>
      <c r="N32" s="94" t="str">
        <f>IFERROR(INDEX(Table_Specifications!$EM$31:$EU$31,MATCH($B$1,Table_Specifications!$EM$2:$EU$2,0)),"")</f>
        <v/>
      </c>
      <c r="O32" s="94" t="str">
        <f>IFERROR(INDEX(Table_Specifications!$EW$31:$FE$31,MATCH($B$1,Table_Specifications!$EW$2:$FE$2,0)),"")</f>
        <v/>
      </c>
      <c r="P32" s="94" t="str">
        <f>IFERROR(INDEX(Table_Specifications!$FG$31:$FO$31,MATCH($B$1,Table_Specifications!$FG$2:$FO$2,0)),"")</f>
        <v/>
      </c>
      <c r="Q32" s="94" t="str">
        <f>IFERROR(INDEX(Table_Specifications!$FQ$31:$FY$31,MATCH($B$1,Table_Specifications!$FQ$2:$FY$2,0)),"")</f>
        <v/>
      </c>
    </row>
    <row r="33" spans="1:17" ht="19.95" hidden="1" customHeight="1" x14ac:dyDescent="0.3">
      <c r="A33" s="95">
        <f>Table_Specifications!A32</f>
        <v>30</v>
      </c>
      <c r="B33" s="142" t="str">
        <f>IF(Top_30="","",Top_30)</f>
        <v/>
      </c>
      <c r="C33" s="96">
        <f>IFERROR(INDEX(Table_Specifications!$E$32:$N$32,MATCH($B$1,Table_Specifications!$E$2:$N$2,0)),"")</f>
        <v>0</v>
      </c>
      <c r="D33" s="96">
        <f>IFERROR(INDEX(Table_Specifications!$P$32:$Y$32,MATCH($B$1,Table_Specifications!$P$2:$Y$2,0)),"")</f>
        <v>0</v>
      </c>
      <c r="E33" s="96">
        <f>IFERROR(INDEX(Table_Specifications!$AA$32:$AJ$32,MATCH($B$1,Table_Specifications!$AA$2:$AJ$2,0)),"")</f>
        <v>0</v>
      </c>
      <c r="F33" s="96">
        <f>IFERROR(INDEX(Table_Specifications!$AL$32:$AU$32,MATCH($B$1,Table_Specifications!$AL$2:$AU$2,0)),"")</f>
        <v>0</v>
      </c>
      <c r="G33" s="96">
        <f>IFERROR(INDEX(Table_Specifications!$AW$32:$BI$32,MATCH($B$1,Table_Specifications!$AW$2:$BI$2,0)),"")</f>
        <v>0</v>
      </c>
      <c r="H33" s="96">
        <f>IFERROR(INDEX(Table_Specifications!$BK$32:$BW$32,MATCH($B$1,Table_Specifications!$BK$2:$BW$2,0)),"")</f>
        <v>0</v>
      </c>
      <c r="I33" s="96">
        <f>IFERROR(INDEX(Table_Specifications!$BY$32:$CK$32,MATCH($B$1,Table_Specifications!$BY$2:$CK$2,0)),"")</f>
        <v>0</v>
      </c>
      <c r="J33" s="96">
        <f>IFERROR(INDEX(Table_Specifications!$CM$32:$CY$32,MATCH($B$1,Table_Specifications!$CM$2:$CY$2,0)),"")</f>
        <v>0</v>
      </c>
      <c r="K33" s="96">
        <f>IFERROR(INDEX(Table_Specifications!$DA$32:$DM$32,MATCH($B$1,Table_Specifications!$DA$2:$DM$2,0)),"")</f>
        <v>0</v>
      </c>
      <c r="L33" s="96">
        <f>IFERROR(INDEX(Table_Specifications!$DO$32:$EA$32,MATCH($B$1,Table_Specifications!$DO$2:$EA$2,0)),"")</f>
        <v>0</v>
      </c>
      <c r="M33" s="96" t="str">
        <f>IFERROR(INDEX(Table_Specifications!$EC$32:$EK$32,MATCH($B$1,Table_Specifications!$EC$2:$EK$2,0)),"")</f>
        <v/>
      </c>
      <c r="N33" s="96" t="str">
        <f>IFERROR(INDEX(Table_Specifications!$EM$32:$EU$32,MATCH($B$1,Table_Specifications!$EM$2:$EU$2,0)),"")</f>
        <v/>
      </c>
      <c r="O33" s="96" t="str">
        <f>IFERROR(INDEX(Table_Specifications!$EW$32:$FE$32,MATCH($B$1,Table_Specifications!$EW$2:$FE$2,0)),"")</f>
        <v/>
      </c>
      <c r="P33" s="96" t="str">
        <f>IFERROR(INDEX(Table_Specifications!$FG$32:$FO$32,MATCH($B$1,Table_Specifications!$FG$2:$FO$2,0)),"")</f>
        <v/>
      </c>
      <c r="Q33" s="96" t="str">
        <f>IFERROR(INDEX(Table_Specifications!$FQ$32:$FY$32,MATCH($B$1,Table_Specifications!$FQ$2:$FY$2,0)),"")</f>
        <v/>
      </c>
    </row>
    <row r="34" spans="1:17" ht="22.05" customHeight="1" x14ac:dyDescent="0.3">
      <c r="A34" s="234" t="s">
        <v>25</v>
      </c>
      <c r="B34" s="235"/>
      <c r="C34" s="97">
        <f t="shared" ref="C34:Q34" si="0">SUM(C4:C33)</f>
        <v>0</v>
      </c>
      <c r="D34" s="97">
        <f t="shared" si="0"/>
        <v>0</v>
      </c>
      <c r="E34" s="97">
        <f t="shared" si="0"/>
        <v>0</v>
      </c>
      <c r="F34" s="97">
        <f t="shared" si="0"/>
        <v>0</v>
      </c>
      <c r="G34" s="97">
        <f t="shared" si="0"/>
        <v>0</v>
      </c>
      <c r="H34" s="97">
        <f t="shared" si="0"/>
        <v>0</v>
      </c>
      <c r="I34" s="97">
        <f t="shared" si="0"/>
        <v>0</v>
      </c>
      <c r="J34" s="97">
        <f t="shared" si="0"/>
        <v>0</v>
      </c>
      <c r="K34" s="97">
        <f t="shared" si="0"/>
        <v>0</v>
      </c>
      <c r="L34" s="97">
        <f t="shared" si="0"/>
        <v>0</v>
      </c>
      <c r="M34" s="97">
        <f t="shared" si="0"/>
        <v>0</v>
      </c>
      <c r="N34" s="97">
        <f t="shared" si="0"/>
        <v>0</v>
      </c>
      <c r="O34" s="97">
        <f t="shared" si="0"/>
        <v>0</v>
      </c>
      <c r="P34" s="97">
        <f t="shared" si="0"/>
        <v>0</v>
      </c>
      <c r="Q34" s="97">
        <f t="shared" si="0"/>
        <v>0</v>
      </c>
    </row>
    <row r="35" spans="1:17" ht="45" customHeight="1" x14ac:dyDescent="0.3">
      <c r="A35" s="172"/>
      <c r="B35" s="167"/>
    </row>
    <row r="36" spans="1:17" ht="45" hidden="1" customHeight="1" x14ac:dyDescent="0.3"/>
    <row r="37" spans="1:17" ht="45" hidden="1" customHeight="1" x14ac:dyDescent="0.3"/>
    <row r="38" spans="1:17" ht="45" hidden="1" customHeight="1" x14ac:dyDescent="0.3"/>
    <row r="39" spans="1:17" ht="28.2" hidden="1" customHeight="1" x14ac:dyDescent="0.3"/>
    <row r="43" spans="1:17" ht="45" hidden="1" customHeight="1" x14ac:dyDescent="0.3"/>
    <row r="44" spans="1:17" ht="45" hidden="1" customHeight="1" x14ac:dyDescent="0.3"/>
    <row r="45" spans="1:17" ht="45" hidden="1" customHeight="1" x14ac:dyDescent="0.3"/>
    <row r="46" spans="1:17" ht="45" hidden="1" customHeight="1" x14ac:dyDescent="0.3"/>
    <row r="47" spans="1:17" ht="45" hidden="1" customHeight="1" x14ac:dyDescent="0.3"/>
    <row r="48" spans="1:17" ht="45" hidden="1" customHeight="1" x14ac:dyDescent="0.3"/>
    <row r="49" customFormat="1" ht="45" hidden="1" customHeight="1" x14ac:dyDescent="0.3"/>
    <row r="50" customFormat="1" ht="45" hidden="1" customHeight="1" x14ac:dyDescent="0.3"/>
    <row r="51" customFormat="1" ht="45" hidden="1" customHeight="1" x14ac:dyDescent="0.3"/>
    <row r="52" customFormat="1" ht="45" hidden="1" customHeight="1" x14ac:dyDescent="0.3"/>
    <row r="53" customFormat="1" ht="45" hidden="1" customHeight="1" x14ac:dyDescent="0.3"/>
    <row r="54" customFormat="1" ht="45" hidden="1" customHeight="1" x14ac:dyDescent="0.3"/>
    <row r="55" customFormat="1" ht="45" hidden="1" customHeight="1" x14ac:dyDescent="0.3"/>
    <row r="56" customFormat="1" ht="45" hidden="1" customHeight="1" x14ac:dyDescent="0.3"/>
    <row r="57" customFormat="1" ht="45" hidden="1" customHeight="1" x14ac:dyDescent="0.3"/>
    <row r="58" customFormat="1" ht="30.6" hidden="1" customHeight="1" x14ac:dyDescent="0.3"/>
    <row r="62" customFormat="1" ht="45" hidden="1" customHeight="1" x14ac:dyDescent="0.3"/>
    <row r="63" customFormat="1" ht="45" hidden="1" customHeight="1" x14ac:dyDescent="0.3"/>
    <row r="64" customFormat="1" ht="45" hidden="1" customHeight="1" x14ac:dyDescent="0.3"/>
    <row r="65" customFormat="1" ht="45" hidden="1" customHeight="1" x14ac:dyDescent="0.3"/>
    <row r="66" customFormat="1" ht="45" hidden="1" customHeight="1" x14ac:dyDescent="0.3"/>
    <row r="67" customFormat="1" ht="45" hidden="1" customHeight="1" x14ac:dyDescent="0.3"/>
    <row r="68" customFormat="1" ht="45" hidden="1" customHeight="1" x14ac:dyDescent="0.3"/>
    <row r="69" customFormat="1" ht="45" hidden="1" customHeight="1" x14ac:dyDescent="0.3"/>
    <row r="70" customFormat="1" ht="45" hidden="1" customHeight="1" x14ac:dyDescent="0.3"/>
    <row r="71" customFormat="1" ht="45" hidden="1" customHeight="1" x14ac:dyDescent="0.3"/>
    <row r="72" customFormat="1" ht="45" hidden="1" customHeight="1" x14ac:dyDescent="0.3"/>
    <row r="73" customFormat="1" ht="45" hidden="1" customHeight="1" x14ac:dyDescent="0.3"/>
    <row r="74" customFormat="1" ht="45" hidden="1" customHeight="1" x14ac:dyDescent="0.3"/>
    <row r="75" customFormat="1" ht="45" hidden="1" customHeight="1" x14ac:dyDescent="0.3"/>
    <row r="76" customFormat="1" ht="45" hidden="1" customHeight="1" x14ac:dyDescent="0.3"/>
    <row r="77" customFormat="1" ht="30.6" hidden="1" customHeight="1" x14ac:dyDescent="0.3"/>
    <row r="81" customFormat="1" ht="45" hidden="1" customHeight="1" x14ac:dyDescent="0.3"/>
    <row r="82" customFormat="1" ht="45" hidden="1" customHeight="1" x14ac:dyDescent="0.3"/>
    <row r="83" customFormat="1" ht="45" hidden="1" customHeight="1" x14ac:dyDescent="0.3"/>
    <row r="84" customFormat="1" ht="45" hidden="1" customHeight="1" x14ac:dyDescent="0.3"/>
    <row r="85" customFormat="1" ht="45" hidden="1" customHeight="1" x14ac:dyDescent="0.3"/>
    <row r="86" customFormat="1" ht="45" hidden="1" customHeight="1" x14ac:dyDescent="0.3"/>
    <row r="87" customFormat="1" ht="45" hidden="1" customHeight="1" x14ac:dyDescent="0.3"/>
    <row r="88" customFormat="1" ht="45" hidden="1" customHeight="1" x14ac:dyDescent="0.3"/>
    <row r="89" customFormat="1" ht="45" hidden="1" customHeight="1" x14ac:dyDescent="0.3"/>
    <row r="90" customFormat="1" ht="45" hidden="1" customHeight="1" x14ac:dyDescent="0.3"/>
    <row r="91" customFormat="1" ht="45" hidden="1" customHeight="1" x14ac:dyDescent="0.3"/>
    <row r="92" customFormat="1" ht="45" hidden="1" customHeight="1" x14ac:dyDescent="0.3"/>
    <row r="93" customFormat="1" ht="45" hidden="1" customHeight="1" x14ac:dyDescent="0.3"/>
    <row r="94" customFormat="1" ht="45" hidden="1" customHeight="1" x14ac:dyDescent="0.3"/>
    <row r="95" customFormat="1" ht="45" hidden="1" customHeight="1" x14ac:dyDescent="0.3"/>
    <row r="96" customFormat="1" ht="30.6" hidden="1" customHeight="1" x14ac:dyDescent="0.3"/>
    <row r="100" customFormat="1" ht="45" hidden="1" customHeight="1" x14ac:dyDescent="0.3"/>
    <row r="101" customFormat="1" ht="45" hidden="1" customHeight="1" x14ac:dyDescent="0.3"/>
    <row r="102" customFormat="1" ht="45" hidden="1" customHeight="1" x14ac:dyDescent="0.3"/>
    <row r="103" customFormat="1" ht="45" hidden="1" customHeight="1" x14ac:dyDescent="0.3"/>
    <row r="104" customFormat="1" ht="45" hidden="1" customHeight="1" x14ac:dyDescent="0.3"/>
    <row r="105" customFormat="1" ht="45" hidden="1" customHeight="1" x14ac:dyDescent="0.3"/>
    <row r="106" customFormat="1" ht="45" hidden="1" customHeight="1" x14ac:dyDescent="0.3"/>
    <row r="107" customFormat="1" ht="45" hidden="1" customHeight="1" x14ac:dyDescent="0.3"/>
    <row r="108" customFormat="1" ht="45" hidden="1" customHeight="1" x14ac:dyDescent="0.3"/>
    <row r="109" customFormat="1" ht="45" hidden="1" customHeight="1" x14ac:dyDescent="0.3"/>
    <row r="110" customFormat="1" ht="45" hidden="1" customHeight="1" x14ac:dyDescent="0.3"/>
    <row r="111" customFormat="1" ht="45" hidden="1" customHeight="1" x14ac:dyDescent="0.3"/>
    <row r="112" customFormat="1" ht="45" hidden="1" customHeight="1" x14ac:dyDescent="0.3"/>
    <row r="113" customFormat="1" ht="45" hidden="1" customHeight="1" x14ac:dyDescent="0.3"/>
    <row r="114" customFormat="1" ht="45" hidden="1" customHeight="1" x14ac:dyDescent="0.3"/>
    <row r="115" customFormat="1" ht="30.6" hidden="1" customHeight="1" x14ac:dyDescent="0.3"/>
    <row r="119" customFormat="1" ht="45" hidden="1" customHeight="1" x14ac:dyDescent="0.3"/>
    <row r="120" customFormat="1" ht="45" hidden="1" customHeight="1" x14ac:dyDescent="0.3"/>
    <row r="121" customFormat="1" ht="45" hidden="1" customHeight="1" x14ac:dyDescent="0.3"/>
    <row r="122" customFormat="1" ht="45" hidden="1" customHeight="1" x14ac:dyDescent="0.3"/>
    <row r="123" customFormat="1" ht="45" hidden="1" customHeight="1" x14ac:dyDescent="0.3"/>
    <row r="124" customFormat="1" ht="45" hidden="1" customHeight="1" x14ac:dyDescent="0.3"/>
    <row r="125" customFormat="1" ht="45" hidden="1" customHeight="1" x14ac:dyDescent="0.3"/>
    <row r="126" customFormat="1" ht="45" hidden="1" customHeight="1" x14ac:dyDescent="0.3"/>
    <row r="127" customFormat="1" ht="45" hidden="1" customHeight="1" x14ac:dyDescent="0.3"/>
    <row r="128" customFormat="1" ht="45" hidden="1" customHeight="1" x14ac:dyDescent="0.3"/>
    <row r="129" customFormat="1" ht="45" hidden="1" customHeight="1" x14ac:dyDescent="0.3"/>
    <row r="130" customFormat="1" ht="45" hidden="1" customHeight="1" x14ac:dyDescent="0.3"/>
    <row r="131" customFormat="1" ht="45" hidden="1" customHeight="1" x14ac:dyDescent="0.3"/>
    <row r="132" customFormat="1" ht="45" hidden="1" customHeight="1" x14ac:dyDescent="0.3"/>
    <row r="133" customFormat="1" ht="45" hidden="1" customHeight="1" x14ac:dyDescent="0.3"/>
    <row r="134" customFormat="1" ht="30.6" hidden="1" customHeight="1" x14ac:dyDescent="0.3"/>
    <row r="137" customFormat="1" ht="45" hidden="1" customHeight="1" x14ac:dyDescent="0.3"/>
    <row r="138" customFormat="1" ht="45" hidden="1" customHeight="1" x14ac:dyDescent="0.3"/>
    <row r="139" customFormat="1" ht="45" hidden="1" customHeight="1" x14ac:dyDescent="0.3"/>
    <row r="140" customFormat="1" ht="45" hidden="1" customHeight="1" x14ac:dyDescent="0.3"/>
    <row r="141" customFormat="1" ht="45" hidden="1" customHeight="1" x14ac:dyDescent="0.3"/>
    <row r="142" customFormat="1" ht="45" hidden="1" customHeight="1" x14ac:dyDescent="0.3"/>
    <row r="143" customFormat="1" ht="45" hidden="1" customHeight="1" x14ac:dyDescent="0.3"/>
    <row r="144" customFormat="1" ht="45" hidden="1" customHeight="1" x14ac:dyDescent="0.3"/>
    <row r="145" customFormat="1" ht="45" hidden="1" customHeight="1" x14ac:dyDescent="0.3"/>
    <row r="146" customFormat="1" ht="45" hidden="1" customHeight="1" x14ac:dyDescent="0.3"/>
    <row r="147" customFormat="1" ht="45" hidden="1" customHeight="1" x14ac:dyDescent="0.3"/>
    <row r="148" customFormat="1" ht="45" hidden="1" customHeight="1" x14ac:dyDescent="0.3"/>
    <row r="149" customFormat="1" ht="45" hidden="1" customHeight="1" x14ac:dyDescent="0.3"/>
    <row r="150" customFormat="1" ht="45" hidden="1" customHeight="1" x14ac:dyDescent="0.3"/>
    <row r="151" customFormat="1" ht="45" hidden="1" customHeight="1" x14ac:dyDescent="0.3"/>
    <row r="152" customFormat="1" ht="30.6" hidden="1" customHeight="1" x14ac:dyDescent="0.3"/>
    <row r="155" customFormat="1" ht="45" hidden="1" customHeight="1" x14ac:dyDescent="0.3"/>
    <row r="156" customFormat="1" ht="45" hidden="1" customHeight="1" x14ac:dyDescent="0.3"/>
    <row r="157" customFormat="1" ht="45" hidden="1" customHeight="1" x14ac:dyDescent="0.3"/>
    <row r="158" customFormat="1" ht="45" hidden="1" customHeight="1" x14ac:dyDescent="0.3"/>
    <row r="159" customFormat="1" ht="45" hidden="1" customHeight="1" x14ac:dyDescent="0.3"/>
    <row r="160" customFormat="1" ht="45" hidden="1" customHeight="1" x14ac:dyDescent="0.3"/>
    <row r="161" customFormat="1" ht="45" hidden="1" customHeight="1" x14ac:dyDescent="0.3"/>
    <row r="162" customFormat="1" ht="45" hidden="1" customHeight="1" x14ac:dyDescent="0.3"/>
    <row r="163" customFormat="1" ht="45" hidden="1" customHeight="1" x14ac:dyDescent="0.3"/>
    <row r="164" customFormat="1" ht="45" hidden="1" customHeight="1" x14ac:dyDescent="0.3"/>
    <row r="165" customFormat="1" ht="45" hidden="1" customHeight="1" x14ac:dyDescent="0.3"/>
    <row r="166" customFormat="1" ht="45" hidden="1" customHeight="1" x14ac:dyDescent="0.3"/>
    <row r="167" customFormat="1" ht="45" hidden="1" customHeight="1" x14ac:dyDescent="0.3"/>
    <row r="168" customFormat="1" ht="45" hidden="1" customHeight="1" x14ac:dyDescent="0.3"/>
    <row r="169" customFormat="1" ht="45" hidden="1" customHeight="1" x14ac:dyDescent="0.3"/>
    <row r="170" customFormat="1" ht="28.2" hidden="1" customHeight="1" x14ac:dyDescent="0.3"/>
    <row r="173" customFormat="1" ht="45" hidden="1" customHeight="1" x14ac:dyDescent="0.3"/>
    <row r="174" customFormat="1" ht="45" hidden="1" customHeight="1" x14ac:dyDescent="0.3"/>
    <row r="175" customFormat="1" ht="45" hidden="1" customHeight="1" x14ac:dyDescent="0.3"/>
    <row r="176" customFormat="1" ht="45" hidden="1" customHeight="1" x14ac:dyDescent="0.3"/>
    <row r="177" customFormat="1" ht="45" hidden="1" customHeight="1" x14ac:dyDescent="0.3"/>
    <row r="178" customFormat="1" ht="45" hidden="1" customHeight="1" x14ac:dyDescent="0.3"/>
    <row r="179" customFormat="1" ht="45" hidden="1" customHeight="1" x14ac:dyDescent="0.3"/>
    <row r="180" customFormat="1" ht="45" hidden="1" customHeight="1" x14ac:dyDescent="0.3"/>
    <row r="181" customFormat="1" ht="45" hidden="1" customHeight="1" x14ac:dyDescent="0.3"/>
    <row r="182" customFormat="1" ht="45" hidden="1" customHeight="1" x14ac:dyDescent="0.3"/>
    <row r="183" customFormat="1" ht="45" hidden="1" customHeight="1" x14ac:dyDescent="0.3"/>
    <row r="184" customFormat="1" ht="45" hidden="1" customHeight="1" x14ac:dyDescent="0.3"/>
    <row r="185" customFormat="1" ht="45" hidden="1" customHeight="1" x14ac:dyDescent="0.3"/>
    <row r="186" customFormat="1" ht="45" hidden="1" customHeight="1" x14ac:dyDescent="0.3"/>
    <row r="187" customFormat="1" ht="45" hidden="1" customHeight="1" x14ac:dyDescent="0.3"/>
    <row r="188" customFormat="1" ht="28.2" hidden="1" customHeight="1" x14ac:dyDescent="0.3"/>
    <row r="191" customFormat="1" ht="45" hidden="1" customHeight="1" x14ac:dyDescent="0.3"/>
    <row r="192" customFormat="1" ht="45" hidden="1" customHeight="1" x14ac:dyDescent="0.3"/>
    <row r="193" customFormat="1" ht="45" hidden="1" customHeight="1" x14ac:dyDescent="0.3"/>
    <row r="194" customFormat="1" ht="45" hidden="1" customHeight="1" x14ac:dyDescent="0.3"/>
    <row r="195" customFormat="1" ht="45" hidden="1" customHeight="1" x14ac:dyDescent="0.3"/>
    <row r="196" customFormat="1" ht="45" hidden="1" customHeight="1" x14ac:dyDescent="0.3"/>
    <row r="197" customFormat="1" ht="45" hidden="1" customHeight="1" x14ac:dyDescent="0.3"/>
    <row r="198" customFormat="1" ht="45" hidden="1" customHeight="1" x14ac:dyDescent="0.3"/>
    <row r="199" customFormat="1" ht="45" hidden="1" customHeight="1" x14ac:dyDescent="0.3"/>
    <row r="200" customFormat="1" ht="45" hidden="1" customHeight="1" x14ac:dyDescent="0.3"/>
    <row r="201" customFormat="1" ht="45" hidden="1" customHeight="1" x14ac:dyDescent="0.3"/>
    <row r="202" customFormat="1" ht="45" hidden="1" customHeight="1" x14ac:dyDescent="0.3"/>
    <row r="203" customFormat="1" ht="45" hidden="1" customHeight="1" x14ac:dyDescent="0.3"/>
    <row r="204" customFormat="1" ht="45" hidden="1" customHeight="1" x14ac:dyDescent="0.3"/>
    <row r="205" customFormat="1" ht="45" hidden="1" customHeight="1" x14ac:dyDescent="0.3"/>
    <row r="206" customFormat="1" ht="28.2" hidden="1" customHeight="1" x14ac:dyDescent="0.3"/>
    <row r="209" customFormat="1" ht="45" hidden="1" customHeight="1" x14ac:dyDescent="0.3"/>
    <row r="210" customFormat="1" ht="45" hidden="1" customHeight="1" x14ac:dyDescent="0.3"/>
    <row r="211" customFormat="1" ht="45" hidden="1" customHeight="1" x14ac:dyDescent="0.3"/>
    <row r="212" customFormat="1" ht="45" hidden="1" customHeight="1" x14ac:dyDescent="0.3"/>
    <row r="213" customFormat="1" ht="45" hidden="1" customHeight="1" x14ac:dyDescent="0.3"/>
    <row r="214" customFormat="1" ht="45" hidden="1" customHeight="1" x14ac:dyDescent="0.3"/>
    <row r="215" customFormat="1" ht="45" hidden="1" customHeight="1" x14ac:dyDescent="0.3"/>
    <row r="216" customFormat="1" ht="45" hidden="1" customHeight="1" x14ac:dyDescent="0.3"/>
    <row r="217" customFormat="1" ht="45" hidden="1" customHeight="1" x14ac:dyDescent="0.3"/>
    <row r="218" customFormat="1" ht="45" hidden="1" customHeight="1" x14ac:dyDescent="0.3"/>
    <row r="219" customFormat="1" ht="45" hidden="1" customHeight="1" x14ac:dyDescent="0.3"/>
    <row r="220" customFormat="1" ht="45" hidden="1" customHeight="1" x14ac:dyDescent="0.3"/>
    <row r="221" customFormat="1" ht="45" hidden="1" customHeight="1" x14ac:dyDescent="0.3"/>
    <row r="222" customFormat="1" ht="45" hidden="1" customHeight="1" x14ac:dyDescent="0.3"/>
    <row r="223" customFormat="1" ht="45" hidden="1" customHeight="1" x14ac:dyDescent="0.3"/>
    <row r="224" customFormat="1" ht="28.2" hidden="1" customHeight="1" x14ac:dyDescent="0.3"/>
  </sheetData>
  <sheetProtection algorithmName="SHA-512" hashValue="7YDBAzDXhVMF84eqH9hgZ+IqLCCHFxaNbjFkx1oAvWBHll4owdXBr7Rlrl0KCExOQBSyt2PDooohturz8Z1tDQ==" saltValue="idfIl6PAphhDzQKu2GmiCQ==" spinCount="100000" sheet="1" objects="1" scenarios="1" selectLockedCells="1" selectUnlockedCells="1"/>
  <mergeCells count="3">
    <mergeCell ref="A2:Q2"/>
    <mergeCell ref="A34:B34"/>
    <mergeCell ref="A35:B35"/>
  </mergeCells>
  <dataValidations count="1">
    <dataValidation type="list" allowBlank="1" showInputMessage="1" showErrorMessage="1" sqref="B1" xr:uid="{CF1EEA1B-FD66-468F-ABCD-57DBC460F6B1}">
      <formula1>"First Exam,Second Exam"</formula1>
    </dataValidation>
  </dataValidations>
  <printOptions horizontalCentered="1"/>
  <pageMargins left="0.59055118110236215" right="0.59055118110236215" top="0.74803149606299213" bottom="0.74803149606299213" header="0.31496062992125989" footer="0.31496062992125989"/>
  <pageSetup paperSize="9" orientation="landscape" r:id="rId1"/>
  <headerFooter>
    <oddFooter>&amp;L&amp;"Arial"&amp;9Activity report&amp;R&amp;"Arial"&amp;9Page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hide_ExamSheet">
                <anchor moveWithCells="1" sizeWithCells="1">
                  <from>
                    <xdr:col>14</xdr:col>
                    <xdr:colOff>251460</xdr:colOff>
                    <xdr:row>0</xdr:row>
                    <xdr:rowOff>213360</xdr:rowOff>
                  </from>
                  <to>
                    <xdr:col>16</xdr:col>
                    <xdr:colOff>868680</xdr:colOff>
                    <xdr:row>0</xdr:row>
                    <xdr:rowOff>1150620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hide_ExamSheet">
                <anchor moveWithCells="1" sizeWithCells="1">
                  <from>
                    <xdr:col>16</xdr:col>
                    <xdr:colOff>1943100</xdr:colOff>
                    <xdr:row>0</xdr:row>
                    <xdr:rowOff>182880</xdr:rowOff>
                  </from>
                  <to>
                    <xdr:col>16</xdr:col>
                    <xdr:colOff>3771900</xdr:colOff>
                    <xdr:row>0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Refresh_ExamSheet">
                <anchor moveWithCells="1" sizeWithCells="1">
                  <from>
                    <xdr:col>0</xdr:col>
                    <xdr:colOff>114300</xdr:colOff>
                    <xdr:row>34</xdr:row>
                    <xdr:rowOff>106680</xdr:rowOff>
                  </from>
                  <to>
                    <xdr:col>1</xdr:col>
                    <xdr:colOff>952500</xdr:colOff>
                    <xdr:row>34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7" name="Button 8">
              <controlPr defaultSize="0" print="0" autoFill="0" autoPict="0" macro="[0]!Print_ExamSheet">
                <anchor moveWithCells="1" sizeWithCells="1">
                  <from>
                    <xdr:col>1</xdr:col>
                    <xdr:colOff>1181100</xdr:colOff>
                    <xdr:row>34</xdr:row>
                    <xdr:rowOff>106680</xdr:rowOff>
                  </from>
                  <to>
                    <xdr:col>1</xdr:col>
                    <xdr:colOff>2545080</xdr:colOff>
                    <xdr:row>34</xdr:row>
                    <xdr:rowOff>472440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arks"/>
  <dimension ref="A1:JC160"/>
  <sheetViews>
    <sheetView zoomScale="70" zoomScaleNormal="7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0" sqref="D10"/>
    </sheetView>
  </sheetViews>
  <sheetFormatPr defaultColWidth="0" defaultRowHeight="18" zeroHeight="1" x14ac:dyDescent="0.3"/>
  <cols>
    <col min="1" max="1" width="6.6640625" customWidth="1"/>
    <col min="2" max="2" width="16.77734375" customWidth="1"/>
    <col min="3" max="3" width="37.6640625" customWidth="1"/>
    <col min="4" max="4" width="28.5546875" style="46" customWidth="1"/>
    <col min="5" max="5" width="7.6640625" hidden="1" customWidth="1"/>
    <col min="6" max="15" width="7.21875" hidden="1" customWidth="1"/>
    <col min="16" max="16" width="7.6640625" hidden="1" customWidth="1"/>
    <col min="17" max="26" width="7.21875" style="125" hidden="1" customWidth="1"/>
    <col min="27" max="27" width="7.6640625" hidden="1" customWidth="1"/>
    <col min="28" max="37" width="7.21875" hidden="1" customWidth="1"/>
    <col min="38" max="38" width="7.6640625" hidden="1" customWidth="1"/>
    <col min="39" max="48" width="7.21875" hidden="1" customWidth="1"/>
    <col min="49" max="49" width="7.6640625" hidden="1" customWidth="1"/>
    <col min="50" max="59" width="7.21875" hidden="1" customWidth="1"/>
    <col min="60" max="60" width="7.6640625" hidden="1" customWidth="1"/>
    <col min="61" max="70" width="7.21875" hidden="1" customWidth="1"/>
    <col min="71" max="71" width="7.6640625" hidden="1" customWidth="1"/>
    <col min="72" max="86" width="7.21875" hidden="1" customWidth="1"/>
    <col min="87" max="87" width="7.6640625" hidden="1" customWidth="1"/>
    <col min="88" max="102" width="7.21875" hidden="1" customWidth="1"/>
    <col min="103" max="103" width="7.6640625" hidden="1" customWidth="1"/>
    <col min="104" max="118" width="7.21875" hidden="1" customWidth="1"/>
    <col min="119" max="119" width="7.6640625" hidden="1" customWidth="1"/>
    <col min="120" max="134" width="7.21875" hidden="1" customWidth="1"/>
    <col min="135" max="135" width="7.6640625" hidden="1" customWidth="1"/>
    <col min="136" max="146" width="7.21875" hidden="1" customWidth="1"/>
    <col min="147" max="147" width="7.6640625" hidden="1" customWidth="1"/>
    <col min="148" max="158" width="7.21875" hidden="1" customWidth="1"/>
    <col min="159" max="159" width="7.6640625" hidden="1" customWidth="1"/>
    <col min="160" max="170" width="7.21875" hidden="1" customWidth="1"/>
    <col min="171" max="171" width="7.6640625" hidden="1" customWidth="1"/>
    <col min="172" max="176" width="7.21875" hidden="1" customWidth="1"/>
    <col min="177" max="177" width="7.6640625" hidden="1" customWidth="1"/>
    <col min="178" max="182" width="7.21875" hidden="1" customWidth="1"/>
    <col min="183" max="183" width="12.6640625" style="100" customWidth="1"/>
    <col min="184" max="184" width="15" style="127" customWidth="1"/>
    <col min="185" max="185" width="19.44140625" style="128" customWidth="1"/>
    <col min="186" max="200" width="13.77734375" hidden="1" customWidth="1"/>
    <col min="201" max="201" width="13.88671875" customWidth="1"/>
    <col min="202" max="202" width="18.44140625" hidden="1" customWidth="1"/>
    <col min="203" max="204" width="12.6640625" hidden="1" customWidth="1"/>
    <col min="205" max="205" width="14.5546875" hidden="1" customWidth="1"/>
    <col min="206" max="219" width="12.6640625" hidden="1" customWidth="1"/>
    <col min="220" max="220" width="8.88671875" hidden="1" customWidth="1"/>
    <col min="221" max="263" width="12.6640625" hidden="1" customWidth="1"/>
  </cols>
  <sheetData>
    <row r="1" spans="1:220" ht="34.950000000000003" customHeight="1" x14ac:dyDescent="0.3">
      <c r="A1" s="256" t="s">
        <v>42</v>
      </c>
      <c r="B1" s="257"/>
      <c r="C1" s="136" t="str">
        <f>IF(Inf_CourseTitle="","",Inf_CourseTitle)</f>
        <v/>
      </c>
      <c r="D1" s="262"/>
      <c r="E1" s="98"/>
      <c r="F1" s="249"/>
      <c r="G1" s="250"/>
      <c r="H1" s="250"/>
      <c r="I1" s="250"/>
      <c r="J1" s="250"/>
      <c r="K1" s="250"/>
      <c r="L1" s="250"/>
      <c r="M1" s="250"/>
      <c r="N1" s="250"/>
      <c r="O1" s="251"/>
      <c r="P1" s="245"/>
      <c r="Q1" s="1"/>
      <c r="R1" s="1"/>
      <c r="S1" s="1"/>
      <c r="T1" s="1"/>
      <c r="U1" s="1"/>
      <c r="V1" s="1"/>
      <c r="W1" s="1"/>
      <c r="X1" s="1"/>
      <c r="Y1" s="1"/>
      <c r="Z1" s="1"/>
      <c r="AA1" s="245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245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245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245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245"/>
      <c r="BT1" s="99"/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245"/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99"/>
      <c r="CU1" s="99"/>
      <c r="CV1" s="99"/>
      <c r="CW1" s="99"/>
      <c r="CX1" s="99"/>
      <c r="CY1" s="245"/>
      <c r="CZ1" s="99"/>
      <c r="DA1" s="99"/>
      <c r="DB1" s="99"/>
      <c r="DC1" s="99"/>
      <c r="DD1" s="99"/>
      <c r="DE1" s="99"/>
      <c r="DF1" s="99"/>
      <c r="DG1" s="99"/>
      <c r="DH1" s="99"/>
      <c r="DI1" s="99"/>
      <c r="DJ1" s="99"/>
      <c r="DK1" s="99"/>
      <c r="DL1" s="99"/>
      <c r="DM1" s="99"/>
      <c r="DN1" s="99"/>
      <c r="DO1" s="245"/>
      <c r="DP1" s="99"/>
      <c r="DQ1" s="99"/>
      <c r="DR1" s="99"/>
      <c r="DS1" s="99"/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245"/>
      <c r="EF1" s="99"/>
      <c r="EG1" s="99"/>
      <c r="EH1" s="99"/>
      <c r="EI1" s="99"/>
      <c r="EJ1" s="99"/>
      <c r="EK1" s="99"/>
      <c r="EL1" s="99"/>
      <c r="EM1" s="99"/>
      <c r="EN1" s="99"/>
      <c r="EO1" s="99"/>
      <c r="EP1" s="99"/>
      <c r="EQ1" s="245"/>
      <c r="ER1" s="99"/>
      <c r="ES1" s="99"/>
      <c r="ET1" s="99"/>
      <c r="EU1" s="99"/>
      <c r="EV1" s="99"/>
      <c r="EW1" s="99"/>
      <c r="EX1" s="99"/>
      <c r="EY1" s="99"/>
      <c r="EZ1" s="99"/>
      <c r="FA1" s="99"/>
      <c r="FB1" s="99"/>
      <c r="FC1" s="245"/>
      <c r="FD1" s="99"/>
      <c r="FE1" s="99"/>
      <c r="FF1" s="99"/>
      <c r="FG1" s="99"/>
      <c r="FH1" s="99"/>
      <c r="FI1" s="99"/>
      <c r="FJ1" s="99"/>
      <c r="FK1" s="99"/>
      <c r="FL1" s="99"/>
      <c r="FM1" s="99"/>
      <c r="FN1" s="99"/>
      <c r="FO1" s="245"/>
      <c r="FP1" s="99"/>
      <c r="FQ1" s="99"/>
      <c r="FR1" s="99"/>
      <c r="FS1" s="99"/>
      <c r="FT1" s="99"/>
      <c r="FU1" s="245"/>
      <c r="FV1" s="100"/>
      <c r="FW1" s="100"/>
      <c r="FX1" s="100"/>
      <c r="FY1" s="100"/>
      <c r="FZ1" s="100"/>
      <c r="GB1" s="101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3"/>
    </row>
    <row r="2" spans="1:220" ht="34.950000000000003" customHeight="1" x14ac:dyDescent="0.3">
      <c r="A2" s="258" t="s">
        <v>1</v>
      </c>
      <c r="B2" s="259"/>
      <c r="C2" s="137" t="str">
        <f>IF(Inf_CourseCode="","",Inf_CourseCode)</f>
        <v/>
      </c>
      <c r="D2" s="262"/>
      <c r="E2" s="104"/>
      <c r="F2" s="249"/>
      <c r="G2" s="250"/>
      <c r="H2" s="250"/>
      <c r="I2" s="250"/>
      <c r="J2" s="250"/>
      <c r="K2" s="250"/>
      <c r="L2" s="250"/>
      <c r="M2" s="250"/>
      <c r="N2" s="250"/>
      <c r="O2" s="251"/>
      <c r="P2" s="246"/>
      <c r="Q2" s="1"/>
      <c r="R2" s="1"/>
      <c r="S2" s="1"/>
      <c r="T2" s="1"/>
      <c r="U2" s="1"/>
      <c r="V2" s="1"/>
      <c r="W2" s="1"/>
      <c r="X2" s="1"/>
      <c r="Y2" s="1"/>
      <c r="Z2" s="1"/>
      <c r="AA2" s="246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246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246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246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246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246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246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246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246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246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246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246"/>
      <c r="FP2" s="99"/>
      <c r="FQ2" s="99"/>
      <c r="FR2" s="99"/>
      <c r="FS2" s="99"/>
      <c r="FT2" s="99"/>
      <c r="FU2" s="246"/>
      <c r="FV2" s="100"/>
      <c r="FW2" s="100"/>
      <c r="FX2" s="100"/>
      <c r="FY2" s="100"/>
      <c r="FZ2" s="100"/>
      <c r="GB2" s="105"/>
      <c r="GC2" s="102"/>
      <c r="GD2" s="102"/>
      <c r="GE2" s="102"/>
      <c r="GF2" s="102"/>
      <c r="GG2" s="102"/>
      <c r="GH2" s="102"/>
      <c r="GI2" s="102"/>
      <c r="GJ2" s="102"/>
      <c r="GK2" s="102"/>
      <c r="GL2" s="102"/>
      <c r="GM2" s="102"/>
      <c r="GN2" s="102"/>
      <c r="GO2" s="102"/>
      <c r="GP2" s="102"/>
      <c r="GQ2" s="102"/>
      <c r="GR2" s="102"/>
      <c r="GS2" s="102"/>
      <c r="GT2" s="103"/>
    </row>
    <row r="3" spans="1:220" ht="34.950000000000003" customHeight="1" x14ac:dyDescent="0.3">
      <c r="A3" s="258" t="s">
        <v>73</v>
      </c>
      <c r="B3" s="259"/>
      <c r="C3" s="137" t="str">
        <f>IF(Inf_Sections="","",Inf_Sections)</f>
        <v/>
      </c>
      <c r="D3" s="262"/>
      <c r="E3" s="104"/>
      <c r="F3" s="249"/>
      <c r="G3" s="250"/>
      <c r="H3" s="250"/>
      <c r="I3" s="250"/>
      <c r="J3" s="250"/>
      <c r="K3" s="250"/>
      <c r="L3" s="250"/>
      <c r="M3" s="250"/>
      <c r="N3" s="250"/>
      <c r="O3" s="251"/>
      <c r="P3" s="246"/>
      <c r="Q3" s="1"/>
      <c r="R3" s="1"/>
      <c r="S3" s="1"/>
      <c r="T3" s="1"/>
      <c r="U3" s="1"/>
      <c r="V3" s="1"/>
      <c r="W3" s="1"/>
      <c r="X3" s="1"/>
      <c r="Y3" s="1"/>
      <c r="Z3" s="1"/>
      <c r="AA3" s="246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246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246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246"/>
      <c r="BI3" s="99"/>
      <c r="BJ3" s="99"/>
      <c r="BK3" s="99"/>
      <c r="BL3" s="99"/>
      <c r="BM3" s="99"/>
      <c r="BN3" s="99"/>
      <c r="BO3" s="99"/>
      <c r="BP3" s="99"/>
      <c r="BQ3" s="99"/>
      <c r="BR3" s="99"/>
      <c r="BS3" s="246"/>
      <c r="BT3" s="99"/>
      <c r="BU3" s="99"/>
      <c r="BV3" s="99"/>
      <c r="BW3" s="99"/>
      <c r="BX3" s="99"/>
      <c r="BY3" s="99"/>
      <c r="BZ3" s="99"/>
      <c r="CA3" s="99"/>
      <c r="CB3" s="99"/>
      <c r="CC3" s="99"/>
      <c r="CD3" s="99"/>
      <c r="CE3" s="99"/>
      <c r="CF3" s="99"/>
      <c r="CG3" s="99"/>
      <c r="CH3" s="99"/>
      <c r="CI3" s="246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246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246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  <c r="EB3" s="99"/>
      <c r="EC3" s="99"/>
      <c r="ED3" s="99"/>
      <c r="EE3" s="246"/>
      <c r="EF3" s="99"/>
      <c r="EG3" s="99"/>
      <c r="EH3" s="99"/>
      <c r="EI3" s="99"/>
      <c r="EJ3" s="99"/>
      <c r="EK3" s="99"/>
      <c r="EL3" s="99"/>
      <c r="EM3" s="99"/>
      <c r="EN3" s="99"/>
      <c r="EO3" s="99"/>
      <c r="EP3" s="99"/>
      <c r="EQ3" s="246"/>
      <c r="ER3" s="99"/>
      <c r="ES3" s="99"/>
      <c r="ET3" s="99"/>
      <c r="EU3" s="99"/>
      <c r="EV3" s="99"/>
      <c r="EW3" s="99"/>
      <c r="EX3" s="99"/>
      <c r="EY3" s="99"/>
      <c r="EZ3" s="99"/>
      <c r="FA3" s="99"/>
      <c r="FB3" s="99"/>
      <c r="FC3" s="246"/>
      <c r="FD3" s="99"/>
      <c r="FE3" s="99"/>
      <c r="FF3" s="99"/>
      <c r="FG3" s="99"/>
      <c r="FH3" s="99"/>
      <c r="FI3" s="99"/>
      <c r="FJ3" s="99"/>
      <c r="FK3" s="99"/>
      <c r="FL3" s="99"/>
      <c r="FM3" s="99"/>
      <c r="FN3" s="99"/>
      <c r="FO3" s="246"/>
      <c r="FP3" s="99"/>
      <c r="FQ3" s="99"/>
      <c r="FR3" s="99"/>
      <c r="FS3" s="99"/>
      <c r="FT3" s="99"/>
      <c r="FU3" s="246"/>
      <c r="FV3" s="100"/>
      <c r="FW3" s="100"/>
      <c r="FX3" s="100"/>
      <c r="FY3" s="100"/>
      <c r="FZ3" s="100"/>
      <c r="GB3" s="105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3"/>
    </row>
    <row r="4" spans="1:220" ht="34.950000000000003" customHeight="1" x14ac:dyDescent="0.3">
      <c r="A4" s="258" t="s">
        <v>74</v>
      </c>
      <c r="B4" s="259"/>
      <c r="C4" s="137" t="str">
        <f>IF(Inf_Instructor="","",Inf_Instructor)</f>
        <v/>
      </c>
      <c r="D4" s="106"/>
      <c r="E4" s="254"/>
      <c r="F4" s="249"/>
      <c r="G4" s="250"/>
      <c r="H4" s="250"/>
      <c r="I4" s="250"/>
      <c r="J4" s="250"/>
      <c r="K4" s="250"/>
      <c r="L4" s="250"/>
      <c r="M4" s="250"/>
      <c r="N4" s="250"/>
      <c r="O4" s="251"/>
      <c r="P4" s="246"/>
      <c r="Q4" s="1"/>
      <c r="R4" s="1"/>
      <c r="S4" s="1"/>
      <c r="T4" s="1"/>
      <c r="U4" s="1"/>
      <c r="V4" s="1"/>
      <c r="W4" s="1"/>
      <c r="X4" s="1"/>
      <c r="Y4" s="1"/>
      <c r="Z4" s="1"/>
      <c r="AA4" s="246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246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246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246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246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246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246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99"/>
      <c r="DK4" s="99"/>
      <c r="DL4" s="99"/>
      <c r="DM4" s="99"/>
      <c r="DN4" s="99"/>
      <c r="DO4" s="246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246"/>
      <c r="EF4" s="99"/>
      <c r="EG4" s="99"/>
      <c r="EH4" s="99"/>
      <c r="EI4" s="99"/>
      <c r="EJ4" s="99"/>
      <c r="EK4" s="99"/>
      <c r="EL4" s="99"/>
      <c r="EM4" s="99"/>
      <c r="EN4" s="99"/>
      <c r="EO4" s="99"/>
      <c r="EP4" s="99"/>
      <c r="EQ4" s="246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246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246"/>
      <c r="FP4" s="99"/>
      <c r="FQ4" s="99"/>
      <c r="FR4" s="99"/>
      <c r="FS4" s="99"/>
      <c r="FT4" s="99"/>
      <c r="FU4" s="246"/>
      <c r="FV4" s="100"/>
      <c r="FW4" s="100"/>
      <c r="FX4" s="100"/>
      <c r="FY4" s="100"/>
      <c r="FZ4" s="100"/>
      <c r="GB4" s="105"/>
      <c r="GC4" s="102"/>
      <c r="GD4" s="102"/>
      <c r="GE4" s="102"/>
      <c r="GF4" s="102"/>
      <c r="GG4" s="102"/>
      <c r="GH4" s="102"/>
      <c r="GI4" s="102"/>
      <c r="GJ4" s="102"/>
      <c r="GK4" s="102"/>
      <c r="GL4" s="102"/>
      <c r="GM4" s="102"/>
      <c r="GN4" s="102"/>
      <c r="GO4" s="102"/>
      <c r="GP4" s="102"/>
      <c r="GQ4" s="102"/>
      <c r="GR4" s="102"/>
      <c r="GS4" s="102"/>
      <c r="GT4" s="103"/>
    </row>
    <row r="5" spans="1:220" ht="34.950000000000003" customHeight="1" thickBot="1" x14ac:dyDescent="0.35">
      <c r="A5" s="260" t="s">
        <v>43</v>
      </c>
      <c r="B5" s="261"/>
      <c r="C5" s="138" t="str">
        <f>IF(Inf_Coordinator="","",Inf_Coordinator)</f>
        <v/>
      </c>
      <c r="D5" s="106"/>
      <c r="E5" s="254"/>
      <c r="F5" s="249"/>
      <c r="G5" s="250"/>
      <c r="H5" s="250"/>
      <c r="I5" s="250"/>
      <c r="J5" s="250"/>
      <c r="K5" s="250"/>
      <c r="L5" s="250"/>
      <c r="M5" s="250"/>
      <c r="N5" s="250"/>
      <c r="O5" s="251"/>
      <c r="P5" s="246"/>
      <c r="Q5" s="1"/>
      <c r="R5" s="1"/>
      <c r="S5" s="1"/>
      <c r="T5" s="1"/>
      <c r="U5" s="1"/>
      <c r="V5" s="1"/>
      <c r="W5" s="1"/>
      <c r="X5" s="1"/>
      <c r="Y5" s="1"/>
      <c r="Z5" s="1"/>
      <c r="AA5" s="246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246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246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246"/>
      <c r="BI5" s="99"/>
      <c r="BJ5" s="99"/>
      <c r="BK5" s="99"/>
      <c r="BL5" s="99"/>
      <c r="BM5" s="99"/>
      <c r="BN5" s="99"/>
      <c r="BO5" s="99"/>
      <c r="BP5" s="99"/>
      <c r="BQ5" s="99"/>
      <c r="BR5" s="99"/>
      <c r="BS5" s="246"/>
      <c r="BT5" s="99"/>
      <c r="BU5" s="99"/>
      <c r="BV5" s="99"/>
      <c r="BW5" s="99"/>
      <c r="BX5" s="99"/>
      <c r="BY5" s="99"/>
      <c r="BZ5" s="99"/>
      <c r="CA5" s="99"/>
      <c r="CB5" s="99"/>
      <c r="CC5" s="99"/>
      <c r="CD5" s="99"/>
      <c r="CE5" s="99"/>
      <c r="CF5" s="99"/>
      <c r="CG5" s="99"/>
      <c r="CH5" s="99"/>
      <c r="CI5" s="246"/>
      <c r="CJ5" s="99"/>
      <c r="CK5" s="99"/>
      <c r="CL5" s="99"/>
      <c r="CM5" s="99"/>
      <c r="CN5" s="99"/>
      <c r="CO5" s="99"/>
      <c r="CP5" s="99"/>
      <c r="CQ5" s="99"/>
      <c r="CR5" s="99"/>
      <c r="CS5" s="99"/>
      <c r="CT5" s="99"/>
      <c r="CU5" s="99"/>
      <c r="CV5" s="99"/>
      <c r="CW5" s="99"/>
      <c r="CX5" s="99"/>
      <c r="CY5" s="246"/>
      <c r="CZ5" s="99"/>
      <c r="DA5" s="99"/>
      <c r="DB5" s="99"/>
      <c r="DC5" s="99"/>
      <c r="DD5" s="99"/>
      <c r="DE5" s="99"/>
      <c r="DF5" s="99"/>
      <c r="DG5" s="99"/>
      <c r="DH5" s="99"/>
      <c r="DI5" s="99"/>
      <c r="DJ5" s="99"/>
      <c r="DK5" s="99"/>
      <c r="DL5" s="99"/>
      <c r="DM5" s="99"/>
      <c r="DN5" s="99"/>
      <c r="DO5" s="246"/>
      <c r="DP5" s="99"/>
      <c r="DQ5" s="99"/>
      <c r="DR5" s="99"/>
      <c r="DS5" s="99"/>
      <c r="DT5" s="99"/>
      <c r="DU5" s="99"/>
      <c r="DV5" s="99"/>
      <c r="DW5" s="99"/>
      <c r="DX5" s="99"/>
      <c r="DY5" s="99"/>
      <c r="DZ5" s="99"/>
      <c r="EA5" s="99"/>
      <c r="EB5" s="99"/>
      <c r="EC5" s="99"/>
      <c r="ED5" s="99"/>
      <c r="EE5" s="246"/>
      <c r="EF5" s="99"/>
      <c r="EG5" s="99"/>
      <c r="EH5" s="99"/>
      <c r="EI5" s="99"/>
      <c r="EJ5" s="99"/>
      <c r="EK5" s="99"/>
      <c r="EL5" s="99"/>
      <c r="EM5" s="99"/>
      <c r="EN5" s="99"/>
      <c r="EO5" s="99"/>
      <c r="EP5" s="99"/>
      <c r="EQ5" s="246"/>
      <c r="ER5" s="99"/>
      <c r="ES5" s="99"/>
      <c r="ET5" s="99"/>
      <c r="EU5" s="99"/>
      <c r="EV5" s="99"/>
      <c r="EW5" s="99"/>
      <c r="EX5" s="99"/>
      <c r="EY5" s="99"/>
      <c r="EZ5" s="99"/>
      <c r="FA5" s="99"/>
      <c r="FB5" s="99"/>
      <c r="FC5" s="246"/>
      <c r="FD5" s="99"/>
      <c r="FE5" s="99"/>
      <c r="FF5" s="99"/>
      <c r="FG5" s="99"/>
      <c r="FH5" s="99"/>
      <c r="FI5" s="99"/>
      <c r="FJ5" s="99"/>
      <c r="FK5" s="99"/>
      <c r="FL5" s="99"/>
      <c r="FM5" s="99"/>
      <c r="FN5" s="99"/>
      <c r="FO5" s="246"/>
      <c r="FP5" s="99"/>
      <c r="FQ5" s="99"/>
      <c r="FR5" s="99"/>
      <c r="FS5" s="99"/>
      <c r="FT5" s="99"/>
      <c r="FU5" s="246"/>
      <c r="FV5" s="100"/>
      <c r="FW5" s="100"/>
      <c r="FX5" s="100"/>
      <c r="FY5" s="100"/>
      <c r="FZ5" s="100"/>
      <c r="GB5" s="105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3"/>
    </row>
    <row r="6" spans="1:220" ht="34.950000000000003" customHeight="1" thickBot="1" x14ac:dyDescent="0.35">
      <c r="A6" s="252" t="s">
        <v>71</v>
      </c>
      <c r="B6" s="253"/>
      <c r="C6" s="107">
        <f>COUNTIF($D$10:$D$159,"Regular")</f>
        <v>0</v>
      </c>
      <c r="D6" s="106"/>
      <c r="E6" s="254"/>
      <c r="F6" s="240" t="str">
        <f>Exam_1</f>
        <v>First Exam</v>
      </c>
      <c r="G6" s="240"/>
      <c r="H6" s="240"/>
      <c r="I6" s="240"/>
      <c r="J6" s="240"/>
      <c r="K6" s="240"/>
      <c r="L6" s="240"/>
      <c r="M6" s="240"/>
      <c r="N6" s="240"/>
      <c r="O6" s="240"/>
      <c r="P6" s="246"/>
      <c r="Q6" s="240" t="str">
        <f>Exam_2</f>
        <v>Second Exam</v>
      </c>
      <c r="R6" s="240"/>
      <c r="S6" s="240"/>
      <c r="T6" s="240"/>
      <c r="U6" s="240"/>
      <c r="V6" s="240"/>
      <c r="W6" s="240"/>
      <c r="X6" s="240"/>
      <c r="Y6" s="240"/>
      <c r="Z6" s="240"/>
      <c r="AA6" s="246"/>
      <c r="AB6" s="240" t="str">
        <f>Exam_3</f>
        <v>Final Exam</v>
      </c>
      <c r="AC6" s="240"/>
      <c r="AD6" s="240"/>
      <c r="AE6" s="240"/>
      <c r="AF6" s="240"/>
      <c r="AG6" s="240"/>
      <c r="AH6" s="240"/>
      <c r="AI6" s="240"/>
      <c r="AJ6" s="240"/>
      <c r="AK6" s="240"/>
      <c r="AL6" s="246"/>
      <c r="AM6" s="240" t="str">
        <f>Exam_4</f>
        <v>Quizzes</v>
      </c>
      <c r="AN6" s="240"/>
      <c r="AO6" s="240"/>
      <c r="AP6" s="240"/>
      <c r="AQ6" s="240"/>
      <c r="AR6" s="240"/>
      <c r="AS6" s="240"/>
      <c r="AT6" s="240"/>
      <c r="AU6" s="240"/>
      <c r="AV6" s="240"/>
      <c r="AW6" s="246"/>
      <c r="AX6" s="240" t="str">
        <f>Exam_5</f>
        <v>Final Lab</v>
      </c>
      <c r="AY6" s="240"/>
      <c r="AZ6" s="240"/>
      <c r="BA6" s="240"/>
      <c r="BB6" s="240"/>
      <c r="BC6" s="240"/>
      <c r="BD6" s="240"/>
      <c r="BE6" s="240"/>
      <c r="BF6" s="240"/>
      <c r="BG6" s="240"/>
      <c r="BH6" s="246"/>
      <c r="BI6" s="240" t="str">
        <f>Exam_6</f>
        <v>Exam6</v>
      </c>
      <c r="BJ6" s="240"/>
      <c r="BK6" s="240"/>
      <c r="BL6" s="240"/>
      <c r="BM6" s="240"/>
      <c r="BN6" s="240"/>
      <c r="BO6" s="240"/>
      <c r="BP6" s="240"/>
      <c r="BQ6" s="240"/>
      <c r="BR6" s="240"/>
      <c r="BS6" s="246"/>
      <c r="BT6" s="239" t="str">
        <f>Exam_7</f>
        <v>All_1</v>
      </c>
      <c r="BU6" s="240"/>
      <c r="BV6" s="240"/>
      <c r="BW6" s="240"/>
      <c r="BX6" s="240"/>
      <c r="BY6" s="240"/>
      <c r="BZ6" s="240"/>
      <c r="CA6" s="240"/>
      <c r="CB6" s="240"/>
      <c r="CC6" s="240"/>
      <c r="CD6" s="240"/>
      <c r="CE6" s="240"/>
      <c r="CF6" s="240"/>
      <c r="CG6" s="240"/>
      <c r="CH6" s="241"/>
      <c r="CI6" s="246"/>
      <c r="CJ6" s="239" t="str">
        <f>Exam_8</f>
        <v>All_2</v>
      </c>
      <c r="CK6" s="240"/>
      <c r="CL6" s="240"/>
      <c r="CM6" s="240"/>
      <c r="CN6" s="240"/>
      <c r="CO6" s="240"/>
      <c r="CP6" s="240"/>
      <c r="CQ6" s="240"/>
      <c r="CR6" s="240"/>
      <c r="CS6" s="240"/>
      <c r="CT6" s="240"/>
      <c r="CU6" s="240"/>
      <c r="CV6" s="240"/>
      <c r="CW6" s="240"/>
      <c r="CX6" s="241"/>
      <c r="CY6" s="246"/>
      <c r="CZ6" s="239" t="str">
        <f>Exam_9</f>
        <v>All_3</v>
      </c>
      <c r="DA6" s="240"/>
      <c r="DB6" s="240"/>
      <c r="DC6" s="240"/>
      <c r="DD6" s="240"/>
      <c r="DE6" s="240"/>
      <c r="DF6" s="240"/>
      <c r="DG6" s="240"/>
      <c r="DH6" s="240"/>
      <c r="DI6" s="240"/>
      <c r="DJ6" s="240"/>
      <c r="DK6" s="240"/>
      <c r="DL6" s="240"/>
      <c r="DM6" s="240"/>
      <c r="DN6" s="241"/>
      <c r="DO6" s="246"/>
      <c r="DP6" s="239" t="str">
        <f>Exam_10</f>
        <v>All_4</v>
      </c>
      <c r="DQ6" s="240"/>
      <c r="DR6" s="240"/>
      <c r="DS6" s="240"/>
      <c r="DT6" s="240"/>
      <c r="DU6" s="240"/>
      <c r="DV6" s="240"/>
      <c r="DW6" s="240"/>
      <c r="DX6" s="240"/>
      <c r="DY6" s="240"/>
      <c r="DZ6" s="240"/>
      <c r="EA6" s="240"/>
      <c r="EB6" s="240"/>
      <c r="EC6" s="240"/>
      <c r="ED6" s="241"/>
      <c r="EE6" s="246"/>
      <c r="EF6" s="239" t="str">
        <f>Exam_11</f>
        <v>Assignments</v>
      </c>
      <c r="EG6" s="240"/>
      <c r="EH6" s="240"/>
      <c r="EI6" s="240"/>
      <c r="EJ6" s="240"/>
      <c r="EK6" s="240"/>
      <c r="EL6" s="240"/>
      <c r="EM6" s="240"/>
      <c r="EN6" s="240"/>
      <c r="EO6" s="240"/>
      <c r="EP6" s="240"/>
      <c r="EQ6" s="246"/>
      <c r="ER6" s="239" t="str">
        <f>Exam_12</f>
        <v>Reports</v>
      </c>
      <c r="ES6" s="240"/>
      <c r="ET6" s="240"/>
      <c r="EU6" s="240"/>
      <c r="EV6" s="240"/>
      <c r="EW6" s="240"/>
      <c r="EX6" s="240"/>
      <c r="EY6" s="240"/>
      <c r="EZ6" s="240"/>
      <c r="FA6" s="240"/>
      <c r="FB6" s="240"/>
      <c r="FC6" s="246"/>
      <c r="FD6" s="239" t="str">
        <f>Exam_13</f>
        <v>Presentation</v>
      </c>
      <c r="FE6" s="240"/>
      <c r="FF6" s="240"/>
      <c r="FG6" s="240"/>
      <c r="FH6" s="240"/>
      <c r="FI6" s="240"/>
      <c r="FJ6" s="240"/>
      <c r="FK6" s="240"/>
      <c r="FL6" s="240"/>
      <c r="FM6" s="240"/>
      <c r="FN6" s="240"/>
      <c r="FO6" s="246"/>
      <c r="FP6" s="239" t="str">
        <f>Exam_14</f>
        <v>Project</v>
      </c>
      <c r="FQ6" s="240"/>
      <c r="FR6" s="240"/>
      <c r="FS6" s="240"/>
      <c r="FT6" s="241"/>
      <c r="FU6" s="246"/>
      <c r="FV6" s="239" t="str">
        <f>Exam_15</f>
        <v>Oral Presentation</v>
      </c>
      <c r="FW6" s="240"/>
      <c r="FX6" s="240"/>
      <c r="FY6" s="240"/>
      <c r="FZ6" s="241"/>
      <c r="GB6" s="105"/>
      <c r="GC6" s="267" t="s">
        <v>44</v>
      </c>
      <c r="GD6" s="268"/>
      <c r="GE6" s="268"/>
      <c r="GF6" s="268"/>
      <c r="GG6" s="268"/>
      <c r="GH6" s="268"/>
      <c r="GI6" s="268"/>
      <c r="GJ6" s="268"/>
      <c r="GK6" s="268"/>
      <c r="GL6" s="268"/>
      <c r="GM6" s="268"/>
      <c r="GN6" s="268"/>
      <c r="GO6" s="268"/>
      <c r="GP6" s="268"/>
      <c r="GQ6" s="268"/>
      <c r="GR6" s="268"/>
      <c r="GS6" s="268"/>
      <c r="GT6" s="103"/>
    </row>
    <row r="7" spans="1:220" s="73" customFormat="1" ht="34.950000000000003" customHeight="1" thickBot="1" x14ac:dyDescent="0.35">
      <c r="A7" s="264" t="s">
        <v>75</v>
      </c>
      <c r="B7" s="265"/>
      <c r="C7" s="108">
        <f>COUNTA($D$10:$D$159)</f>
        <v>0</v>
      </c>
      <c r="D7" s="106"/>
      <c r="E7" s="255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7"/>
      <c r="Q7" s="243" t="str">
        <f>Exam_2</f>
        <v>Second Exam</v>
      </c>
      <c r="R7" s="243"/>
      <c r="S7" s="243"/>
      <c r="T7" s="243"/>
      <c r="U7" s="243"/>
      <c r="V7" s="243"/>
      <c r="W7" s="243"/>
      <c r="X7" s="243"/>
      <c r="Y7" s="243"/>
      <c r="Z7" s="243"/>
      <c r="AA7" s="247"/>
      <c r="AB7" s="243"/>
      <c r="AC7" s="243"/>
      <c r="AD7" s="243"/>
      <c r="AE7" s="243"/>
      <c r="AF7" s="243"/>
      <c r="AG7" s="243"/>
      <c r="AH7" s="243"/>
      <c r="AI7" s="243"/>
      <c r="AJ7" s="243"/>
      <c r="AK7" s="243"/>
      <c r="AL7" s="247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7"/>
      <c r="AX7" s="243"/>
      <c r="AY7" s="243"/>
      <c r="AZ7" s="243"/>
      <c r="BA7" s="243"/>
      <c r="BB7" s="243"/>
      <c r="BC7" s="243"/>
      <c r="BD7" s="243"/>
      <c r="BE7" s="243"/>
      <c r="BF7" s="243"/>
      <c r="BG7" s="243"/>
      <c r="BH7" s="247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7"/>
      <c r="BT7" s="242"/>
      <c r="BU7" s="243"/>
      <c r="BV7" s="243"/>
      <c r="BW7" s="243"/>
      <c r="BX7" s="243"/>
      <c r="BY7" s="243"/>
      <c r="BZ7" s="243"/>
      <c r="CA7" s="243"/>
      <c r="CB7" s="243"/>
      <c r="CC7" s="243"/>
      <c r="CD7" s="243"/>
      <c r="CE7" s="243"/>
      <c r="CF7" s="243"/>
      <c r="CG7" s="243"/>
      <c r="CH7" s="244"/>
      <c r="CI7" s="247"/>
      <c r="CJ7" s="242"/>
      <c r="CK7" s="243"/>
      <c r="CL7" s="243"/>
      <c r="CM7" s="243"/>
      <c r="CN7" s="243"/>
      <c r="CO7" s="243"/>
      <c r="CP7" s="243"/>
      <c r="CQ7" s="243"/>
      <c r="CR7" s="243"/>
      <c r="CS7" s="243"/>
      <c r="CT7" s="243"/>
      <c r="CU7" s="243"/>
      <c r="CV7" s="243"/>
      <c r="CW7" s="243"/>
      <c r="CX7" s="244"/>
      <c r="CY7" s="247"/>
      <c r="CZ7" s="242"/>
      <c r="DA7" s="243"/>
      <c r="DB7" s="243"/>
      <c r="DC7" s="243"/>
      <c r="DD7" s="243"/>
      <c r="DE7" s="243"/>
      <c r="DF7" s="243"/>
      <c r="DG7" s="243"/>
      <c r="DH7" s="243"/>
      <c r="DI7" s="243"/>
      <c r="DJ7" s="243"/>
      <c r="DK7" s="243"/>
      <c r="DL7" s="243"/>
      <c r="DM7" s="243"/>
      <c r="DN7" s="244"/>
      <c r="DO7" s="247"/>
      <c r="DP7" s="242"/>
      <c r="DQ7" s="243"/>
      <c r="DR7" s="243"/>
      <c r="DS7" s="243"/>
      <c r="DT7" s="243"/>
      <c r="DU7" s="243"/>
      <c r="DV7" s="243"/>
      <c r="DW7" s="243"/>
      <c r="DX7" s="243"/>
      <c r="DY7" s="243"/>
      <c r="DZ7" s="243"/>
      <c r="EA7" s="243"/>
      <c r="EB7" s="243"/>
      <c r="EC7" s="243"/>
      <c r="ED7" s="244"/>
      <c r="EE7" s="247"/>
      <c r="EF7" s="242"/>
      <c r="EG7" s="243"/>
      <c r="EH7" s="243"/>
      <c r="EI7" s="243"/>
      <c r="EJ7" s="243"/>
      <c r="EK7" s="243"/>
      <c r="EL7" s="243"/>
      <c r="EM7" s="243"/>
      <c r="EN7" s="243"/>
      <c r="EO7" s="243"/>
      <c r="EP7" s="243"/>
      <c r="EQ7" s="247"/>
      <c r="ER7" s="242"/>
      <c r="ES7" s="243"/>
      <c r="ET7" s="243"/>
      <c r="EU7" s="243"/>
      <c r="EV7" s="243"/>
      <c r="EW7" s="243"/>
      <c r="EX7" s="243"/>
      <c r="EY7" s="243"/>
      <c r="EZ7" s="243"/>
      <c r="FA7" s="243"/>
      <c r="FB7" s="243"/>
      <c r="FC7" s="247"/>
      <c r="FD7" s="242"/>
      <c r="FE7" s="243"/>
      <c r="FF7" s="243"/>
      <c r="FG7" s="243"/>
      <c r="FH7" s="243"/>
      <c r="FI7" s="243"/>
      <c r="FJ7" s="243"/>
      <c r="FK7" s="243"/>
      <c r="FL7" s="243"/>
      <c r="FM7" s="243"/>
      <c r="FN7" s="243"/>
      <c r="FO7" s="247"/>
      <c r="FP7" s="242"/>
      <c r="FQ7" s="243"/>
      <c r="FR7" s="243"/>
      <c r="FS7" s="243"/>
      <c r="FT7" s="244"/>
      <c r="FU7" s="247"/>
      <c r="FV7" s="242"/>
      <c r="FW7" s="243"/>
      <c r="FX7" s="243"/>
      <c r="FY7" s="243"/>
      <c r="FZ7" s="244"/>
      <c r="GA7" s="109"/>
      <c r="GB7" s="110"/>
      <c r="GC7" s="267"/>
      <c r="GD7" s="268"/>
      <c r="GE7" s="268"/>
      <c r="GF7" s="268"/>
      <c r="GG7" s="268"/>
      <c r="GH7" s="268"/>
      <c r="GI7" s="268"/>
      <c r="GJ7" s="268"/>
      <c r="GK7" s="268"/>
      <c r="GL7" s="268"/>
      <c r="GM7" s="268"/>
      <c r="GN7" s="268"/>
      <c r="GO7" s="268"/>
      <c r="GP7" s="268"/>
      <c r="GQ7" s="268"/>
      <c r="GR7" s="268"/>
      <c r="GS7" s="268"/>
      <c r="GT7" s="103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</row>
    <row r="8" spans="1:220" s="73" customFormat="1" ht="27" customHeight="1" thickTop="1" thickBot="1" x14ac:dyDescent="0.35">
      <c r="A8" s="236" t="s">
        <v>40</v>
      </c>
      <c r="B8" s="266" t="s">
        <v>70</v>
      </c>
      <c r="C8" s="266" t="s">
        <v>41</v>
      </c>
      <c r="D8" s="263" t="s">
        <v>50</v>
      </c>
      <c r="E8" s="5" t="s">
        <v>21</v>
      </c>
      <c r="F8" s="112" t="str">
        <f>K_1</f>
        <v>K1</v>
      </c>
      <c r="G8" s="112" t="str">
        <f>K_2</f>
        <v>K2</v>
      </c>
      <c r="H8" s="112" t="str">
        <f>K_3</f>
        <v>K3</v>
      </c>
      <c r="I8" s="112" t="str">
        <f>K_4</f>
        <v>K4</v>
      </c>
      <c r="J8" s="112" t="str">
        <f>S_1</f>
        <v>S1</v>
      </c>
      <c r="K8" s="112" t="str">
        <f>S_2</f>
        <v>S2</v>
      </c>
      <c r="L8" s="112" t="str">
        <f>S_3</f>
        <v>S3</v>
      </c>
      <c r="M8" s="112" t="str">
        <f>S_4</f>
        <v>S4</v>
      </c>
      <c r="N8" s="112" t="str">
        <f>S_5</f>
        <v>S5</v>
      </c>
      <c r="O8" s="112" t="str">
        <f>S_6</f>
        <v>S6</v>
      </c>
      <c r="P8" s="5" t="str">
        <f>$E$8</f>
        <v>Mark</v>
      </c>
      <c r="Q8" s="112" t="str">
        <f>K_1</f>
        <v>K1</v>
      </c>
      <c r="R8" s="112" t="str">
        <f>K_2</f>
        <v>K2</v>
      </c>
      <c r="S8" s="112" t="str">
        <f>K_3</f>
        <v>K3</v>
      </c>
      <c r="T8" s="112" t="str">
        <f>K_4</f>
        <v>K4</v>
      </c>
      <c r="U8" s="112" t="str">
        <f>S_1</f>
        <v>S1</v>
      </c>
      <c r="V8" s="112" t="str">
        <f>S_2</f>
        <v>S2</v>
      </c>
      <c r="W8" s="112" t="str">
        <f>S_3</f>
        <v>S3</v>
      </c>
      <c r="X8" s="112" t="str">
        <f>S_4</f>
        <v>S4</v>
      </c>
      <c r="Y8" s="112" t="str">
        <f>S_5</f>
        <v>S5</v>
      </c>
      <c r="Z8" s="112" t="str">
        <f>S_6</f>
        <v>S6</v>
      </c>
      <c r="AA8" s="5" t="str">
        <f>$E$8</f>
        <v>Mark</v>
      </c>
      <c r="AB8" s="112" t="str">
        <f>K_1</f>
        <v>K1</v>
      </c>
      <c r="AC8" s="112" t="str">
        <f>K_2</f>
        <v>K2</v>
      </c>
      <c r="AD8" s="112" t="str">
        <f>K_3</f>
        <v>K3</v>
      </c>
      <c r="AE8" s="112" t="str">
        <f>K_4</f>
        <v>K4</v>
      </c>
      <c r="AF8" s="112" t="str">
        <f>S_1</f>
        <v>S1</v>
      </c>
      <c r="AG8" s="112" t="str">
        <f>S_2</f>
        <v>S2</v>
      </c>
      <c r="AH8" s="112" t="str">
        <f>S_3</f>
        <v>S3</v>
      </c>
      <c r="AI8" s="112" t="str">
        <f>S_4</f>
        <v>S4</v>
      </c>
      <c r="AJ8" s="112" t="str">
        <f>S_5</f>
        <v>S5</v>
      </c>
      <c r="AK8" s="112" t="str">
        <f>S_6</f>
        <v>S6</v>
      </c>
      <c r="AL8" s="5" t="str">
        <f>$E$8</f>
        <v>Mark</v>
      </c>
      <c r="AM8" s="112" t="str">
        <f>K_1</f>
        <v>K1</v>
      </c>
      <c r="AN8" s="112" t="str">
        <f>K_2</f>
        <v>K2</v>
      </c>
      <c r="AO8" s="112" t="str">
        <f>K_3</f>
        <v>K3</v>
      </c>
      <c r="AP8" s="112" t="str">
        <f>K_4</f>
        <v>K4</v>
      </c>
      <c r="AQ8" s="112" t="str">
        <f>S_1</f>
        <v>S1</v>
      </c>
      <c r="AR8" s="112" t="str">
        <f>S_2</f>
        <v>S2</v>
      </c>
      <c r="AS8" s="112" t="str">
        <f>S_3</f>
        <v>S3</v>
      </c>
      <c r="AT8" s="112" t="str">
        <f>S_4</f>
        <v>S4</v>
      </c>
      <c r="AU8" s="112" t="str">
        <f>S_5</f>
        <v>S5</v>
      </c>
      <c r="AV8" s="112" t="str">
        <f>S_6</f>
        <v>S6</v>
      </c>
      <c r="AW8" s="5" t="str">
        <f>$E$8</f>
        <v>Mark</v>
      </c>
      <c r="AX8" s="112" t="str">
        <f>K_1</f>
        <v>K1</v>
      </c>
      <c r="AY8" s="112" t="str">
        <f>K_2</f>
        <v>K2</v>
      </c>
      <c r="AZ8" s="112" t="str">
        <f>K_3</f>
        <v>K3</v>
      </c>
      <c r="BA8" s="112" t="str">
        <f>K_4</f>
        <v>K4</v>
      </c>
      <c r="BB8" s="112" t="str">
        <f>S_1</f>
        <v>S1</v>
      </c>
      <c r="BC8" s="112" t="str">
        <f>S_2</f>
        <v>S2</v>
      </c>
      <c r="BD8" s="112" t="str">
        <f>S_3</f>
        <v>S3</v>
      </c>
      <c r="BE8" s="112" t="str">
        <f>S_4</f>
        <v>S4</v>
      </c>
      <c r="BF8" s="112" t="str">
        <f>S_5</f>
        <v>S5</v>
      </c>
      <c r="BG8" s="112" t="str">
        <f>S_6</f>
        <v>S6</v>
      </c>
      <c r="BH8" s="5" t="str">
        <f>$E$8</f>
        <v>Mark</v>
      </c>
      <c r="BI8" s="112" t="str">
        <f>K_1</f>
        <v>K1</v>
      </c>
      <c r="BJ8" s="112" t="str">
        <f>K_2</f>
        <v>K2</v>
      </c>
      <c r="BK8" s="112" t="str">
        <f>K_3</f>
        <v>K3</v>
      </c>
      <c r="BL8" s="112" t="str">
        <f>K_4</f>
        <v>K4</v>
      </c>
      <c r="BM8" s="112" t="str">
        <f>S_1</f>
        <v>S1</v>
      </c>
      <c r="BN8" s="112" t="str">
        <f>S_2</f>
        <v>S2</v>
      </c>
      <c r="BO8" s="112" t="str">
        <f>S_3</f>
        <v>S3</v>
      </c>
      <c r="BP8" s="112" t="str">
        <f>S_4</f>
        <v>S4</v>
      </c>
      <c r="BQ8" s="112" t="str">
        <f>S_5</f>
        <v>S5</v>
      </c>
      <c r="BR8" s="112" t="str">
        <f>S_6</f>
        <v>S6</v>
      </c>
      <c r="BS8" s="5" t="str">
        <f>$E$8</f>
        <v>Mark</v>
      </c>
      <c r="BT8" s="112" t="str">
        <f>K_1</f>
        <v>K1</v>
      </c>
      <c r="BU8" s="112" t="str">
        <f>K_2</f>
        <v>K2</v>
      </c>
      <c r="BV8" s="112" t="str">
        <f>K_3</f>
        <v>K3</v>
      </c>
      <c r="BW8" s="112" t="str">
        <f>K_4</f>
        <v>K4</v>
      </c>
      <c r="BX8" s="112" t="str">
        <f>S_1</f>
        <v>S1</v>
      </c>
      <c r="BY8" s="112" t="str">
        <f>S_2</f>
        <v>S2</v>
      </c>
      <c r="BZ8" s="112" t="str">
        <f>S_3</f>
        <v>S3</v>
      </c>
      <c r="CA8" s="112" t="str">
        <f>S_4</f>
        <v>S4</v>
      </c>
      <c r="CB8" s="112" t="str">
        <f>S_5</f>
        <v>S5</v>
      </c>
      <c r="CC8" s="112" t="str">
        <f>S_6</f>
        <v>S6</v>
      </c>
      <c r="CD8" s="112" t="str">
        <f>S_7</f>
        <v>S7</v>
      </c>
      <c r="CE8" s="112" t="str">
        <f>V_1</f>
        <v>V1</v>
      </c>
      <c r="CF8" s="112" t="str">
        <f>V_2</f>
        <v>V2</v>
      </c>
      <c r="CG8" s="112" t="str">
        <f>V_3</f>
        <v>V3</v>
      </c>
      <c r="CH8" s="112" t="str">
        <f>V_4</f>
        <v>V4</v>
      </c>
      <c r="CI8" s="5" t="str">
        <f>$E$8</f>
        <v>Mark</v>
      </c>
      <c r="CJ8" s="112" t="str">
        <f>K_1</f>
        <v>K1</v>
      </c>
      <c r="CK8" s="112" t="str">
        <f>K_2</f>
        <v>K2</v>
      </c>
      <c r="CL8" s="112" t="str">
        <f>K_3</f>
        <v>K3</v>
      </c>
      <c r="CM8" s="112" t="str">
        <f>K_4</f>
        <v>K4</v>
      </c>
      <c r="CN8" s="112" t="str">
        <f>S_1</f>
        <v>S1</v>
      </c>
      <c r="CO8" s="112" t="str">
        <f>S_2</f>
        <v>S2</v>
      </c>
      <c r="CP8" s="112" t="str">
        <f>S_3</f>
        <v>S3</v>
      </c>
      <c r="CQ8" s="112" t="str">
        <f>S_4</f>
        <v>S4</v>
      </c>
      <c r="CR8" s="112" t="str">
        <f>S_5</f>
        <v>S5</v>
      </c>
      <c r="CS8" s="112" t="str">
        <f>S_6</f>
        <v>S6</v>
      </c>
      <c r="CT8" s="112" t="str">
        <f>S_7</f>
        <v>S7</v>
      </c>
      <c r="CU8" s="112" t="str">
        <f>V_1</f>
        <v>V1</v>
      </c>
      <c r="CV8" s="112" t="str">
        <f>V_2</f>
        <v>V2</v>
      </c>
      <c r="CW8" s="112" t="str">
        <f>V_3</f>
        <v>V3</v>
      </c>
      <c r="CX8" s="112" t="str">
        <f>V_4</f>
        <v>V4</v>
      </c>
      <c r="CY8" s="5" t="str">
        <f>$E$8</f>
        <v>Mark</v>
      </c>
      <c r="CZ8" s="112" t="str">
        <f>K_1</f>
        <v>K1</v>
      </c>
      <c r="DA8" s="112" t="str">
        <f>K_2</f>
        <v>K2</v>
      </c>
      <c r="DB8" s="112" t="str">
        <f>K_3</f>
        <v>K3</v>
      </c>
      <c r="DC8" s="112" t="str">
        <f>K_4</f>
        <v>K4</v>
      </c>
      <c r="DD8" s="112" t="str">
        <f>S_1</f>
        <v>S1</v>
      </c>
      <c r="DE8" s="112" t="str">
        <f>S_2</f>
        <v>S2</v>
      </c>
      <c r="DF8" s="112" t="str">
        <f>S_3</f>
        <v>S3</v>
      </c>
      <c r="DG8" s="112" t="str">
        <f>S_4</f>
        <v>S4</v>
      </c>
      <c r="DH8" s="112" t="str">
        <f>S_5</f>
        <v>S5</v>
      </c>
      <c r="DI8" s="112" t="str">
        <f>S_6</f>
        <v>S6</v>
      </c>
      <c r="DJ8" s="112" t="str">
        <f>S_7</f>
        <v>S7</v>
      </c>
      <c r="DK8" s="112" t="str">
        <f>V_1</f>
        <v>V1</v>
      </c>
      <c r="DL8" s="112" t="str">
        <f>V_2</f>
        <v>V2</v>
      </c>
      <c r="DM8" s="112" t="str">
        <f>V_3</f>
        <v>V3</v>
      </c>
      <c r="DN8" s="112" t="str">
        <f>V_4</f>
        <v>V4</v>
      </c>
      <c r="DO8" s="5" t="str">
        <f>$E$8</f>
        <v>Mark</v>
      </c>
      <c r="DP8" s="112" t="str">
        <f>K_1</f>
        <v>K1</v>
      </c>
      <c r="DQ8" s="112" t="str">
        <f>K_2</f>
        <v>K2</v>
      </c>
      <c r="DR8" s="112" t="str">
        <f>K_3</f>
        <v>K3</v>
      </c>
      <c r="DS8" s="112" t="str">
        <f>K_4</f>
        <v>K4</v>
      </c>
      <c r="DT8" s="112" t="str">
        <f>S_1</f>
        <v>S1</v>
      </c>
      <c r="DU8" s="112" t="str">
        <f>S_2</f>
        <v>S2</v>
      </c>
      <c r="DV8" s="112" t="str">
        <f>S_3</f>
        <v>S3</v>
      </c>
      <c r="DW8" s="112" t="str">
        <f>S_4</f>
        <v>S4</v>
      </c>
      <c r="DX8" s="112" t="str">
        <f>S_5</f>
        <v>S5</v>
      </c>
      <c r="DY8" s="112" t="str">
        <f>S_6</f>
        <v>S6</v>
      </c>
      <c r="DZ8" s="112" t="str">
        <f>S_7</f>
        <v>S7</v>
      </c>
      <c r="EA8" s="112" t="str">
        <f>V_1</f>
        <v>V1</v>
      </c>
      <c r="EB8" s="112" t="str">
        <f>V_2</f>
        <v>V2</v>
      </c>
      <c r="EC8" s="112" t="str">
        <f>V_3</f>
        <v>V3</v>
      </c>
      <c r="ED8" s="112" t="str">
        <f>V_4</f>
        <v>V4</v>
      </c>
      <c r="EE8" s="5" t="str">
        <f>$E$8</f>
        <v>Mark</v>
      </c>
      <c r="EF8" s="112" t="str">
        <f>S_1</f>
        <v>S1</v>
      </c>
      <c r="EG8" s="112" t="str">
        <f>S_2</f>
        <v>S2</v>
      </c>
      <c r="EH8" s="112" t="str">
        <f>S_3</f>
        <v>S3</v>
      </c>
      <c r="EI8" s="112" t="str">
        <f>S_4</f>
        <v>S4</v>
      </c>
      <c r="EJ8" s="112" t="str">
        <f>S_5</f>
        <v>S5</v>
      </c>
      <c r="EK8" s="112" t="str">
        <f>S_6</f>
        <v>S6</v>
      </c>
      <c r="EL8" s="112" t="str">
        <f>S_7</f>
        <v>S7</v>
      </c>
      <c r="EM8" s="112" t="str">
        <f>V_1</f>
        <v>V1</v>
      </c>
      <c r="EN8" s="112" t="str">
        <f>V_2</f>
        <v>V2</v>
      </c>
      <c r="EO8" s="112" t="str">
        <f>V_3</f>
        <v>V3</v>
      </c>
      <c r="EP8" s="112" t="str">
        <f>V_4</f>
        <v>V4</v>
      </c>
      <c r="EQ8" s="5" t="str">
        <f>$E$8</f>
        <v>Mark</v>
      </c>
      <c r="ER8" s="112" t="str">
        <f>S_1</f>
        <v>S1</v>
      </c>
      <c r="ES8" s="112" t="str">
        <f>S_2</f>
        <v>S2</v>
      </c>
      <c r="ET8" s="112" t="str">
        <f>S_3</f>
        <v>S3</v>
      </c>
      <c r="EU8" s="112" t="str">
        <f>S_4</f>
        <v>S4</v>
      </c>
      <c r="EV8" s="112" t="str">
        <f>S_5</f>
        <v>S5</v>
      </c>
      <c r="EW8" s="112" t="str">
        <f>S_6</f>
        <v>S6</v>
      </c>
      <c r="EX8" s="112" t="str">
        <f>S_7</f>
        <v>S7</v>
      </c>
      <c r="EY8" s="112" t="str">
        <f>V_1</f>
        <v>V1</v>
      </c>
      <c r="EZ8" s="112" t="str">
        <f>V_2</f>
        <v>V2</v>
      </c>
      <c r="FA8" s="112" t="str">
        <f>V_3</f>
        <v>V3</v>
      </c>
      <c r="FB8" s="112" t="str">
        <f>V_4</f>
        <v>V4</v>
      </c>
      <c r="FC8" s="5" t="str">
        <f>$E$8</f>
        <v>Mark</v>
      </c>
      <c r="FD8" s="112" t="str">
        <f>S_1</f>
        <v>S1</v>
      </c>
      <c r="FE8" s="112" t="str">
        <f>S_2</f>
        <v>S2</v>
      </c>
      <c r="FF8" s="112" t="str">
        <f>S_3</f>
        <v>S3</v>
      </c>
      <c r="FG8" s="112" t="str">
        <f>S_4</f>
        <v>S4</v>
      </c>
      <c r="FH8" s="112" t="str">
        <f>S_5</f>
        <v>S5</v>
      </c>
      <c r="FI8" s="112" t="str">
        <f>S_6</f>
        <v>S6</v>
      </c>
      <c r="FJ8" s="112" t="str">
        <f>S_7</f>
        <v>S7</v>
      </c>
      <c r="FK8" s="112" t="str">
        <f>V_1</f>
        <v>V1</v>
      </c>
      <c r="FL8" s="112" t="str">
        <f>V_2</f>
        <v>V2</v>
      </c>
      <c r="FM8" s="112" t="str">
        <f>V_3</f>
        <v>V3</v>
      </c>
      <c r="FN8" s="112" t="str">
        <f>V_4</f>
        <v>V4</v>
      </c>
      <c r="FO8" s="5" t="str">
        <f>$E$8</f>
        <v>Mark</v>
      </c>
      <c r="FP8" s="112" t="str">
        <f>S_7</f>
        <v>S7</v>
      </c>
      <c r="FQ8" s="112" t="str">
        <f>V_1</f>
        <v>V1</v>
      </c>
      <c r="FR8" s="112" t="str">
        <f>V_2</f>
        <v>V2</v>
      </c>
      <c r="FS8" s="112" t="str">
        <f>V_3</f>
        <v>V3</v>
      </c>
      <c r="FT8" s="112" t="str">
        <f>V_4</f>
        <v>V4</v>
      </c>
      <c r="FU8" s="5" t="str">
        <f>$E$8</f>
        <v>Mark</v>
      </c>
      <c r="FV8" s="112" t="str">
        <f>S_7</f>
        <v>S7</v>
      </c>
      <c r="FW8" s="112" t="str">
        <f>V_1</f>
        <v>V1</v>
      </c>
      <c r="FX8" s="112" t="str">
        <f>V_2</f>
        <v>V2</v>
      </c>
      <c r="FY8" s="112" t="str">
        <f>V_3</f>
        <v>V3</v>
      </c>
      <c r="FZ8" s="112" t="str">
        <f>V_4</f>
        <v>V4</v>
      </c>
      <c r="GA8" s="113"/>
      <c r="GB8" s="236" t="str">
        <f>B8</f>
        <v>Student No</v>
      </c>
      <c r="GC8" s="236" t="str">
        <f>C8</f>
        <v>Student Name</v>
      </c>
      <c r="GD8" s="236" t="str">
        <f>Exam_1</f>
        <v>First Exam</v>
      </c>
      <c r="GE8" s="236" t="str">
        <f>Exam_2</f>
        <v>Second Exam</v>
      </c>
      <c r="GF8" s="236" t="str">
        <f>Exam_3</f>
        <v>Final Exam</v>
      </c>
      <c r="GG8" s="236" t="str">
        <f>Exam_4</f>
        <v>Quizzes</v>
      </c>
      <c r="GH8" s="236" t="str">
        <f>Exam_5</f>
        <v>Final Lab</v>
      </c>
      <c r="GI8" s="236" t="str">
        <f>Exam_6</f>
        <v>Exam6</v>
      </c>
      <c r="GJ8" s="236" t="str">
        <f>Exam_7</f>
        <v>All_1</v>
      </c>
      <c r="GK8" s="236" t="str">
        <f>Exam_8</f>
        <v>All_2</v>
      </c>
      <c r="GL8" s="236" t="str">
        <f>Exam_9</f>
        <v>All_3</v>
      </c>
      <c r="GM8" s="236" t="str">
        <f>Exam_10</f>
        <v>All_4</v>
      </c>
      <c r="GN8" s="236" t="str">
        <f>Exam_11</f>
        <v>Assignments</v>
      </c>
      <c r="GO8" s="236" t="str">
        <f>Exam_12</f>
        <v>Reports</v>
      </c>
      <c r="GP8" s="236" t="str">
        <f>Exam_13</f>
        <v>Presentation</v>
      </c>
      <c r="GQ8" s="236" t="str">
        <f>Exam_14</f>
        <v>Project</v>
      </c>
      <c r="GR8" s="236" t="str">
        <f>Exam_15</f>
        <v>Oral Presentation</v>
      </c>
      <c r="GS8" s="236" t="s">
        <v>25</v>
      </c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</row>
    <row r="9" spans="1:220" s="73" customFormat="1" ht="27" customHeight="1" thickBot="1" x14ac:dyDescent="0.35">
      <c r="A9" s="237"/>
      <c r="B9" s="237"/>
      <c r="C9" s="237"/>
      <c r="D9" s="237" t="s">
        <v>50</v>
      </c>
      <c r="E9" s="114">
        <f>ACT_1</f>
        <v>0</v>
      </c>
      <c r="F9" s="115">
        <f>Exam1_1</f>
        <v>0</v>
      </c>
      <c r="G9" s="116">
        <f>Exam1_2</f>
        <v>0</v>
      </c>
      <c r="H9" s="116">
        <f>Exam1_3</f>
        <v>0</v>
      </c>
      <c r="I9" s="116">
        <f>Exam1_4</f>
        <v>0</v>
      </c>
      <c r="J9" s="116">
        <f>Exam1_5</f>
        <v>0</v>
      </c>
      <c r="K9" s="116">
        <f>Exam1_6</f>
        <v>0</v>
      </c>
      <c r="L9" s="116">
        <f>Exam1_7</f>
        <v>0</v>
      </c>
      <c r="M9" s="116">
        <f>Exam1_8</f>
        <v>0</v>
      </c>
      <c r="N9" s="116">
        <f>Exam1_9</f>
        <v>0</v>
      </c>
      <c r="O9" s="117">
        <f>Exam1_10</f>
        <v>0</v>
      </c>
      <c r="P9" s="114">
        <f>ACT_2</f>
        <v>0</v>
      </c>
      <c r="Q9" s="115">
        <f>Exam2_1</f>
        <v>0</v>
      </c>
      <c r="R9" s="116">
        <f>Exam2_2</f>
        <v>0</v>
      </c>
      <c r="S9" s="116">
        <f>Exam2_3</f>
        <v>0</v>
      </c>
      <c r="T9" s="116">
        <f>Exam2_4</f>
        <v>0</v>
      </c>
      <c r="U9" s="116">
        <f>Exam2_5</f>
        <v>0</v>
      </c>
      <c r="V9" s="116">
        <f>Exam2_6</f>
        <v>0</v>
      </c>
      <c r="W9" s="116">
        <f>Exam2_7</f>
        <v>0</v>
      </c>
      <c r="X9" s="116">
        <f>Exam2_8</f>
        <v>0</v>
      </c>
      <c r="Y9" s="116">
        <f>Exam2_9</f>
        <v>0</v>
      </c>
      <c r="Z9" s="116">
        <f>Exam2_10</f>
        <v>0</v>
      </c>
      <c r="AA9" s="114">
        <f>ACT_3</f>
        <v>0</v>
      </c>
      <c r="AB9" s="115">
        <f>Exam3_1</f>
        <v>0</v>
      </c>
      <c r="AC9" s="115">
        <f>Exam3_2</f>
        <v>0</v>
      </c>
      <c r="AD9" s="115">
        <f>Exam3_3</f>
        <v>0</v>
      </c>
      <c r="AE9" s="115">
        <f>Exam3_4</f>
        <v>0</v>
      </c>
      <c r="AF9" s="115">
        <f>Exam3_5</f>
        <v>0</v>
      </c>
      <c r="AG9" s="115">
        <f>Exam3_6</f>
        <v>0</v>
      </c>
      <c r="AH9" s="115">
        <f>Exam3_7</f>
        <v>0</v>
      </c>
      <c r="AI9" s="115">
        <f>Exam3_8</f>
        <v>0</v>
      </c>
      <c r="AJ9" s="115">
        <f>Exam3_9</f>
        <v>0</v>
      </c>
      <c r="AK9" s="115">
        <f>Exam3_10</f>
        <v>0</v>
      </c>
      <c r="AL9" s="114">
        <f>ACT_4</f>
        <v>0</v>
      </c>
      <c r="AM9" s="115">
        <f>Quiz_1</f>
        <v>0</v>
      </c>
      <c r="AN9" s="115">
        <f>Quiz_2</f>
        <v>0</v>
      </c>
      <c r="AO9" s="115">
        <f>Quiz_3</f>
        <v>0</v>
      </c>
      <c r="AP9" s="115">
        <f>Quiz_4</f>
        <v>0</v>
      </c>
      <c r="AQ9" s="115">
        <f>Quiz_5</f>
        <v>0</v>
      </c>
      <c r="AR9" s="115">
        <f>Quiz_6</f>
        <v>0</v>
      </c>
      <c r="AS9" s="115">
        <f>Quiz_7</f>
        <v>0</v>
      </c>
      <c r="AT9" s="115">
        <f>Quiz_8</f>
        <v>0</v>
      </c>
      <c r="AU9" s="115">
        <f>Quiz_9</f>
        <v>0</v>
      </c>
      <c r="AV9" s="115">
        <f>Quiz_10</f>
        <v>0</v>
      </c>
      <c r="AW9" s="114">
        <f>ACT_5</f>
        <v>0</v>
      </c>
      <c r="AX9" s="115">
        <f>Lab_1</f>
        <v>0</v>
      </c>
      <c r="AY9" s="115">
        <f>Lab_2</f>
        <v>0</v>
      </c>
      <c r="AZ9" s="115">
        <f>Lab_3</f>
        <v>0</v>
      </c>
      <c r="BA9" s="115">
        <f>Lab_4</f>
        <v>0</v>
      </c>
      <c r="BB9" s="115">
        <f>Lab_5</f>
        <v>0</v>
      </c>
      <c r="BC9" s="115">
        <f>Lab_6</f>
        <v>0</v>
      </c>
      <c r="BD9" s="115">
        <f>Lab_7</f>
        <v>0</v>
      </c>
      <c r="BE9" s="115">
        <f>Lab_8</f>
        <v>0</v>
      </c>
      <c r="BF9" s="115">
        <f>Lab_9</f>
        <v>0</v>
      </c>
      <c r="BG9" s="115">
        <f>Lab_10</f>
        <v>0</v>
      </c>
      <c r="BH9" s="114">
        <f>ACT_6</f>
        <v>0</v>
      </c>
      <c r="BI9" s="115">
        <f>Exam6_1</f>
        <v>0</v>
      </c>
      <c r="BJ9" s="115">
        <f>Exam6_2</f>
        <v>0</v>
      </c>
      <c r="BK9" s="115">
        <f>Exam6_3</f>
        <v>0</v>
      </c>
      <c r="BL9" s="115">
        <f>Exam6_4</f>
        <v>0</v>
      </c>
      <c r="BM9" s="115">
        <f>Exam6_5</f>
        <v>0</v>
      </c>
      <c r="BN9" s="115">
        <f>Exam6_6</f>
        <v>0</v>
      </c>
      <c r="BO9" s="115">
        <f>Exam6_7</f>
        <v>0</v>
      </c>
      <c r="BP9" s="115">
        <f>Exam6_8</f>
        <v>0</v>
      </c>
      <c r="BQ9" s="115">
        <f>Exam6_9</f>
        <v>0</v>
      </c>
      <c r="BR9" s="115">
        <f>Exam6_10</f>
        <v>0</v>
      </c>
      <c r="BS9" s="114">
        <f>ACT_7</f>
        <v>0</v>
      </c>
      <c r="BT9" s="115">
        <f>All1_1</f>
        <v>0</v>
      </c>
      <c r="BU9" s="115">
        <f>All1_2</f>
        <v>0</v>
      </c>
      <c r="BV9" s="115">
        <f>All1_3</f>
        <v>0</v>
      </c>
      <c r="BW9" s="115">
        <f>All1_4</f>
        <v>0</v>
      </c>
      <c r="BX9" s="115">
        <f>All1_5</f>
        <v>0</v>
      </c>
      <c r="BY9" s="115">
        <f>All1_6</f>
        <v>0</v>
      </c>
      <c r="BZ9" s="115">
        <f>All1_7</f>
        <v>0</v>
      </c>
      <c r="CA9" s="115">
        <f>All1_8</f>
        <v>0</v>
      </c>
      <c r="CB9" s="115">
        <f>All1_9</f>
        <v>0</v>
      </c>
      <c r="CC9" s="115">
        <f>All1_10</f>
        <v>0</v>
      </c>
      <c r="CD9" s="115">
        <f>All1_11</f>
        <v>0</v>
      </c>
      <c r="CE9" s="115">
        <f>All1_12</f>
        <v>0</v>
      </c>
      <c r="CF9" s="115">
        <f>All1_13</f>
        <v>0</v>
      </c>
      <c r="CG9" s="115">
        <f>All1_14</f>
        <v>0</v>
      </c>
      <c r="CH9" s="115">
        <f>All1_15</f>
        <v>0</v>
      </c>
      <c r="CI9" s="114">
        <f>ACT_8</f>
        <v>0</v>
      </c>
      <c r="CJ9" s="115">
        <f>All2_1</f>
        <v>0</v>
      </c>
      <c r="CK9" s="115">
        <f>All2_2</f>
        <v>0</v>
      </c>
      <c r="CL9" s="115">
        <f>All2_3</f>
        <v>0</v>
      </c>
      <c r="CM9" s="115">
        <f>All2_4</f>
        <v>0</v>
      </c>
      <c r="CN9" s="115">
        <f>All2_5</f>
        <v>0</v>
      </c>
      <c r="CO9" s="115">
        <f>All2_6</f>
        <v>0</v>
      </c>
      <c r="CP9" s="115">
        <f>All2_7</f>
        <v>0</v>
      </c>
      <c r="CQ9" s="115">
        <f>All2_8</f>
        <v>0</v>
      </c>
      <c r="CR9" s="115">
        <f>All2_9</f>
        <v>0</v>
      </c>
      <c r="CS9" s="115">
        <f>All2_10</f>
        <v>0</v>
      </c>
      <c r="CT9" s="115">
        <f>All2_11</f>
        <v>0</v>
      </c>
      <c r="CU9" s="115">
        <f>All2_12</f>
        <v>0</v>
      </c>
      <c r="CV9" s="115">
        <f>All2_13</f>
        <v>0</v>
      </c>
      <c r="CW9" s="115">
        <f>All2_14</f>
        <v>0</v>
      </c>
      <c r="CX9" s="115">
        <f>All2_15</f>
        <v>0</v>
      </c>
      <c r="CY9" s="114">
        <f>ACT_9</f>
        <v>0</v>
      </c>
      <c r="CZ9" s="115">
        <f>All3_1</f>
        <v>0</v>
      </c>
      <c r="DA9" s="115">
        <f>All3_2</f>
        <v>0</v>
      </c>
      <c r="DB9" s="115">
        <f>All3_3</f>
        <v>0</v>
      </c>
      <c r="DC9" s="115">
        <f>All3_4</f>
        <v>0</v>
      </c>
      <c r="DD9" s="115">
        <f>All3_5</f>
        <v>0</v>
      </c>
      <c r="DE9" s="115">
        <f>All3_6</f>
        <v>0</v>
      </c>
      <c r="DF9" s="115">
        <f>All3_7</f>
        <v>0</v>
      </c>
      <c r="DG9" s="115">
        <f>All3_8</f>
        <v>0</v>
      </c>
      <c r="DH9" s="115">
        <f>All3_9</f>
        <v>0</v>
      </c>
      <c r="DI9" s="115">
        <f>All3_10</f>
        <v>0</v>
      </c>
      <c r="DJ9" s="115">
        <f>All3_11</f>
        <v>0</v>
      </c>
      <c r="DK9" s="115">
        <f>All3_12</f>
        <v>0</v>
      </c>
      <c r="DL9" s="115">
        <f>All3_13</f>
        <v>0</v>
      </c>
      <c r="DM9" s="115">
        <f>All3_14</f>
        <v>0</v>
      </c>
      <c r="DN9" s="115">
        <f>All3_15</f>
        <v>0</v>
      </c>
      <c r="DO9" s="114">
        <f>ACT_10</f>
        <v>0</v>
      </c>
      <c r="DP9" s="115">
        <f>All4_1</f>
        <v>0</v>
      </c>
      <c r="DQ9" s="115">
        <f>All4_2</f>
        <v>0</v>
      </c>
      <c r="DR9" s="115">
        <f>All4_3</f>
        <v>0</v>
      </c>
      <c r="DS9" s="115">
        <f>All4_4</f>
        <v>0</v>
      </c>
      <c r="DT9" s="115">
        <f>All4_5</f>
        <v>0</v>
      </c>
      <c r="DU9" s="115">
        <f>All4_6</f>
        <v>0</v>
      </c>
      <c r="DV9" s="115">
        <f>All4_7</f>
        <v>0</v>
      </c>
      <c r="DW9" s="115">
        <f>All4_8</f>
        <v>0</v>
      </c>
      <c r="DX9" s="115">
        <f>All4_9</f>
        <v>0</v>
      </c>
      <c r="DY9" s="115">
        <f>All4_10</f>
        <v>0</v>
      </c>
      <c r="DZ9" s="115">
        <f>All4_11</f>
        <v>0</v>
      </c>
      <c r="EA9" s="115">
        <f>All4_12</f>
        <v>0</v>
      </c>
      <c r="EB9" s="115">
        <f>All4_13</f>
        <v>0</v>
      </c>
      <c r="EC9" s="115">
        <f>All4_14</f>
        <v>0</v>
      </c>
      <c r="ED9" s="115">
        <f>All4_15</f>
        <v>0</v>
      </c>
      <c r="EE9" s="114">
        <f>ACT_11</f>
        <v>0</v>
      </c>
      <c r="EF9" s="115">
        <f>Assign_1</f>
        <v>0</v>
      </c>
      <c r="EG9" s="115">
        <f>Assign_2</f>
        <v>0</v>
      </c>
      <c r="EH9" s="115">
        <f>Assign_3</f>
        <v>0</v>
      </c>
      <c r="EI9" s="115">
        <f>Assign_4</f>
        <v>0</v>
      </c>
      <c r="EJ9" s="115">
        <f>Assign_5</f>
        <v>0</v>
      </c>
      <c r="EK9" s="115">
        <f>Assign_6</f>
        <v>0</v>
      </c>
      <c r="EL9" s="115">
        <f>Assign_7</f>
        <v>0</v>
      </c>
      <c r="EM9" s="115">
        <f>Assign_8</f>
        <v>0</v>
      </c>
      <c r="EN9" s="115">
        <f>Assign_9</f>
        <v>0</v>
      </c>
      <c r="EO9" s="115">
        <f>Assign_10</f>
        <v>0</v>
      </c>
      <c r="EP9" s="115">
        <f>Assign_11</f>
        <v>0</v>
      </c>
      <c r="EQ9" s="114">
        <f>ACT_12</f>
        <v>0</v>
      </c>
      <c r="ER9" s="115">
        <f>Report_1</f>
        <v>0</v>
      </c>
      <c r="ES9" s="115">
        <f>Report_2</f>
        <v>0</v>
      </c>
      <c r="ET9" s="115">
        <f>Report_3</f>
        <v>0</v>
      </c>
      <c r="EU9" s="115">
        <f>Report_4</f>
        <v>0</v>
      </c>
      <c r="EV9" s="115">
        <f>Report_5</f>
        <v>0</v>
      </c>
      <c r="EW9" s="115">
        <f>Report_6</f>
        <v>0</v>
      </c>
      <c r="EX9" s="115">
        <f>Report_7</f>
        <v>0</v>
      </c>
      <c r="EY9" s="115">
        <f>Report_8</f>
        <v>0</v>
      </c>
      <c r="EZ9" s="115">
        <f>Report_9</f>
        <v>0</v>
      </c>
      <c r="FA9" s="115">
        <f>Report_10</f>
        <v>0</v>
      </c>
      <c r="FB9" s="115">
        <f>Report_11</f>
        <v>0</v>
      </c>
      <c r="FC9" s="114">
        <f>ACT_13</f>
        <v>0</v>
      </c>
      <c r="FD9" s="115">
        <f>Present_1</f>
        <v>0</v>
      </c>
      <c r="FE9" s="115">
        <f>Present_2</f>
        <v>0</v>
      </c>
      <c r="FF9" s="115">
        <f>Present_3</f>
        <v>0</v>
      </c>
      <c r="FG9" s="115">
        <f>Present_4</f>
        <v>0</v>
      </c>
      <c r="FH9" s="115">
        <f>Present_5</f>
        <v>0</v>
      </c>
      <c r="FI9" s="115">
        <f>Present_6</f>
        <v>0</v>
      </c>
      <c r="FJ9" s="115">
        <f>Present_7</f>
        <v>0</v>
      </c>
      <c r="FK9" s="115">
        <f>Present_8</f>
        <v>0</v>
      </c>
      <c r="FL9" s="115">
        <f>Present_9</f>
        <v>0</v>
      </c>
      <c r="FM9" s="115">
        <f>Present_10</f>
        <v>0</v>
      </c>
      <c r="FN9" s="115">
        <f>Present_11</f>
        <v>0</v>
      </c>
      <c r="FO9" s="114">
        <f>ACT_14</f>
        <v>0</v>
      </c>
      <c r="FP9" s="115">
        <f>Project_1</f>
        <v>0</v>
      </c>
      <c r="FQ9" s="115">
        <f>Project_2</f>
        <v>0</v>
      </c>
      <c r="FR9" s="115">
        <f>Project_3</f>
        <v>0</v>
      </c>
      <c r="FS9" s="115">
        <f>Project_4</f>
        <v>0</v>
      </c>
      <c r="FT9" s="115">
        <f>Project_5</f>
        <v>0</v>
      </c>
      <c r="FU9" s="114">
        <f>ACT_15</f>
        <v>0</v>
      </c>
      <c r="FV9" s="115">
        <f>Oral_1</f>
        <v>0</v>
      </c>
      <c r="FW9" s="115">
        <f>Oral_2</f>
        <v>0</v>
      </c>
      <c r="FX9" s="115">
        <f>Oral_3</f>
        <v>0</v>
      </c>
      <c r="FY9" s="115">
        <f>Oral_4</f>
        <v>0</v>
      </c>
      <c r="FZ9" s="115">
        <f>Oral_5</f>
        <v>0</v>
      </c>
      <c r="GA9" s="113"/>
      <c r="GB9" s="237"/>
      <c r="GC9" s="237"/>
      <c r="GD9" s="237"/>
      <c r="GE9" s="237"/>
      <c r="GF9" s="237"/>
      <c r="GG9" s="237"/>
      <c r="GH9" s="237"/>
      <c r="GI9" s="237"/>
      <c r="GJ9" s="237"/>
      <c r="GK9" s="237"/>
      <c r="GL9" s="237"/>
      <c r="GM9" s="237"/>
      <c r="GN9" s="237"/>
      <c r="GO9" s="237"/>
      <c r="GP9" s="237"/>
      <c r="GQ9" s="237"/>
      <c r="GR9" s="237"/>
      <c r="GS9" s="237"/>
      <c r="GT9"/>
      <c r="GU9"/>
      <c r="GV9"/>
      <c r="GW9"/>
      <c r="GX9" s="118"/>
      <c r="GY9" s="118"/>
      <c r="GZ9" s="118"/>
      <c r="HA9" s="118"/>
      <c r="HB9" s="118"/>
      <c r="HC9" s="118"/>
      <c r="HD9" s="118"/>
      <c r="HE9" s="118"/>
      <c r="HF9" s="118"/>
      <c r="HG9" s="118"/>
      <c r="HH9" s="118"/>
      <c r="HI9" s="118"/>
      <c r="HJ9" s="118"/>
      <c r="HK9" s="118"/>
      <c r="HL9" s="118"/>
    </row>
    <row r="10" spans="1:220" s="74" customFormat="1" ht="30" customHeight="1" x14ac:dyDescent="0.35">
      <c r="A10" s="119">
        <v>1</v>
      </c>
      <c r="B10" s="3"/>
      <c r="C10" s="6"/>
      <c r="D10" s="3"/>
      <c r="E10" s="246"/>
      <c r="F10" s="8"/>
      <c r="G10" s="8"/>
      <c r="H10" s="8"/>
      <c r="I10" s="8"/>
      <c r="J10" s="8"/>
      <c r="K10" s="8"/>
      <c r="L10" s="8"/>
      <c r="M10" s="8"/>
      <c r="N10" s="8"/>
      <c r="O10" s="9"/>
      <c r="P10" s="238"/>
      <c r="Q10" s="12"/>
      <c r="R10" s="8"/>
      <c r="S10" s="8"/>
      <c r="T10" s="8"/>
      <c r="U10" s="8"/>
      <c r="V10" s="8"/>
      <c r="W10" s="8"/>
      <c r="X10" s="8"/>
      <c r="Y10" s="8"/>
      <c r="Z10" s="13"/>
      <c r="AA10" s="238"/>
      <c r="AB10" s="12"/>
      <c r="AC10" s="8"/>
      <c r="AD10" s="8"/>
      <c r="AE10" s="8"/>
      <c r="AF10" s="8"/>
      <c r="AG10" s="8"/>
      <c r="AH10" s="8"/>
      <c r="AI10" s="8"/>
      <c r="AJ10" s="8"/>
      <c r="AK10" s="13"/>
      <c r="AL10" s="238"/>
      <c r="AM10" s="12"/>
      <c r="AN10" s="8"/>
      <c r="AO10" s="8"/>
      <c r="AP10" s="8"/>
      <c r="AQ10" s="8"/>
      <c r="AR10" s="8"/>
      <c r="AS10" s="8"/>
      <c r="AT10" s="8"/>
      <c r="AU10" s="8"/>
      <c r="AV10" s="13"/>
      <c r="AW10" s="238"/>
      <c r="AX10" s="12"/>
      <c r="AY10" s="8"/>
      <c r="AZ10" s="8"/>
      <c r="BA10" s="8"/>
      <c r="BB10" s="8"/>
      <c r="BC10" s="8"/>
      <c r="BD10" s="8"/>
      <c r="BE10" s="8"/>
      <c r="BF10" s="8"/>
      <c r="BG10" s="13"/>
      <c r="BH10" s="238"/>
      <c r="BI10" s="12"/>
      <c r="BJ10" s="8"/>
      <c r="BK10" s="8"/>
      <c r="BL10" s="8"/>
      <c r="BM10" s="8"/>
      <c r="BN10" s="8"/>
      <c r="BO10" s="8"/>
      <c r="BP10" s="8"/>
      <c r="BQ10" s="8"/>
      <c r="BR10" s="13"/>
      <c r="BS10" s="238"/>
      <c r="BT10" s="12"/>
      <c r="BU10" s="8"/>
      <c r="BV10" s="8"/>
      <c r="BW10" s="8"/>
      <c r="BX10" s="8"/>
      <c r="BY10" s="8"/>
      <c r="BZ10" s="8"/>
      <c r="CA10" s="8"/>
      <c r="CB10" s="12"/>
      <c r="CC10" s="8"/>
      <c r="CD10" s="8"/>
      <c r="CE10" s="8"/>
      <c r="CF10" s="8"/>
      <c r="CG10" s="8"/>
      <c r="CH10" s="8"/>
      <c r="CI10" s="238"/>
      <c r="CJ10" s="12"/>
      <c r="CK10" s="8"/>
      <c r="CL10" s="8"/>
      <c r="CM10" s="8"/>
      <c r="CN10" s="8"/>
      <c r="CO10" s="8"/>
      <c r="CP10" s="8"/>
      <c r="CQ10" s="8"/>
      <c r="CR10" s="12"/>
      <c r="CS10" s="8"/>
      <c r="CT10" s="8"/>
      <c r="CU10" s="8"/>
      <c r="CV10" s="8"/>
      <c r="CW10" s="8"/>
      <c r="CX10" s="8"/>
      <c r="CY10" s="238"/>
      <c r="CZ10" s="12"/>
      <c r="DA10" s="8"/>
      <c r="DB10" s="8"/>
      <c r="DC10" s="8"/>
      <c r="DD10" s="8"/>
      <c r="DE10" s="8"/>
      <c r="DF10" s="8"/>
      <c r="DG10" s="8"/>
      <c r="DH10" s="12"/>
      <c r="DI10" s="8"/>
      <c r="DJ10" s="8"/>
      <c r="DK10" s="8"/>
      <c r="DL10" s="8"/>
      <c r="DM10" s="8"/>
      <c r="DN10" s="8"/>
      <c r="DO10" s="238"/>
      <c r="DP10" s="12"/>
      <c r="DQ10" s="8"/>
      <c r="DR10" s="8"/>
      <c r="DS10" s="8"/>
      <c r="DT10" s="8"/>
      <c r="DU10" s="8"/>
      <c r="DV10" s="8"/>
      <c r="DW10" s="8"/>
      <c r="DX10" s="12"/>
      <c r="DY10" s="8"/>
      <c r="DZ10" s="8"/>
      <c r="EA10" s="8"/>
      <c r="EB10" s="8"/>
      <c r="EC10" s="8"/>
      <c r="ED10" s="8"/>
      <c r="EE10" s="238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238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238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238"/>
      <c r="FP10" s="12"/>
      <c r="FQ10" s="12"/>
      <c r="FR10" s="12"/>
      <c r="FS10" s="12"/>
      <c r="FT10" s="12"/>
      <c r="FU10" s="238"/>
      <c r="FV10" s="12"/>
      <c r="FW10" s="12"/>
      <c r="FX10" s="12"/>
      <c r="FY10" s="12"/>
      <c r="FZ10" s="12"/>
      <c r="GA10" s="120"/>
      <c r="GB10" s="118" t="str">
        <f t="shared" ref="GB10:GB41" si="0">IF(B10="","",B10)</f>
        <v/>
      </c>
      <c r="GC10" s="139" t="str">
        <f t="shared" ref="GC10:GC41" si="1">IF(C10="","",C10)</f>
        <v/>
      </c>
      <c r="GD10" s="118">
        <f t="shared" ref="GD10:GD41" si="2">SUM(F10:O10)</f>
        <v>0</v>
      </c>
      <c r="GE10" s="118">
        <f t="shared" ref="GE10:GE41" si="3">SUM(Q10:Z10)</f>
        <v>0</v>
      </c>
      <c r="GF10" s="118">
        <f t="shared" ref="GF10:GF41" si="4">SUM(AB10:AK10)</f>
        <v>0</v>
      </c>
      <c r="GG10" s="118">
        <f t="shared" ref="GG10:GG41" si="5">SUM(AM10:AV10)</f>
        <v>0</v>
      </c>
      <c r="GH10" s="118">
        <f t="shared" ref="GH10:GH41" si="6">SUM(AX10:BG10)</f>
        <v>0</v>
      </c>
      <c r="GI10" s="118">
        <f t="shared" ref="GI10:GI41" si="7">SUM(BI10:BR10)</f>
        <v>0</v>
      </c>
      <c r="GJ10" s="118">
        <f t="shared" ref="GJ10:GJ41" si="8">SUM(BT10:CH10)</f>
        <v>0</v>
      </c>
      <c r="GK10" s="118">
        <f t="shared" ref="GK10:GK41" si="9">SUM(CJ10:CX10)</f>
        <v>0</v>
      </c>
      <c r="GL10" s="118">
        <f t="shared" ref="GL10:GL41" si="10">SUM(CZ10:DN10)</f>
        <v>0</v>
      </c>
      <c r="GM10" s="118">
        <f t="shared" ref="GM10:GM41" si="11">SUM(DP10:ED10)</f>
        <v>0</v>
      </c>
      <c r="GN10" s="118">
        <f t="shared" ref="GN10:GN41" si="12">SUM(EF10:EP10)</f>
        <v>0</v>
      </c>
      <c r="GO10" s="118">
        <f t="shared" ref="GO10:GO41" si="13">SUM(ER10:FB10)</f>
        <v>0</v>
      </c>
      <c r="GP10" s="118">
        <f t="shared" ref="GP10:GP41" si="14">SUM(FD10:FN10)</f>
        <v>0</v>
      </c>
      <c r="GQ10" s="118">
        <f t="shared" ref="GQ10:GQ41" si="15">SUM(FP10:FT10)</f>
        <v>0</v>
      </c>
      <c r="GR10" s="118">
        <f t="shared" ref="GR10:GR41" si="16">SUM(FV10:FZ10)</f>
        <v>0</v>
      </c>
      <c r="GS10" s="121">
        <f t="shared" ref="GS10:GS41" si="17">SUM(GD10:GR10)</f>
        <v>0</v>
      </c>
      <c r="GT10"/>
      <c r="GU10"/>
      <c r="GV10"/>
      <c r="GW10"/>
      <c r="GX10" s="118"/>
      <c r="GY10" s="118"/>
      <c r="GZ10" s="118"/>
      <c r="HA10" s="118"/>
      <c r="HB10" s="118"/>
      <c r="HC10" s="118"/>
      <c r="HD10" s="118"/>
      <c r="HE10" s="118"/>
      <c r="HF10" s="118"/>
      <c r="HG10" s="118"/>
      <c r="HH10" s="118"/>
      <c r="HI10" s="118"/>
      <c r="HJ10" s="118"/>
      <c r="HK10" s="118"/>
      <c r="HL10" s="118"/>
    </row>
    <row r="11" spans="1:220" s="74" customFormat="1" ht="30" hidden="1" customHeight="1" x14ac:dyDescent="0.35">
      <c r="A11" s="119">
        <v>2</v>
      </c>
      <c r="B11" s="4"/>
      <c r="C11" s="7"/>
      <c r="D11" s="4"/>
      <c r="E11" s="246"/>
      <c r="F11" s="10"/>
      <c r="G11" s="10"/>
      <c r="H11" s="10"/>
      <c r="I11" s="10"/>
      <c r="J11" s="10"/>
      <c r="K11" s="10"/>
      <c r="L11" s="10"/>
      <c r="M11" s="10"/>
      <c r="N11" s="10"/>
      <c r="O11" s="11"/>
      <c r="P11" s="238"/>
      <c r="Q11" s="14"/>
      <c r="R11" s="10"/>
      <c r="S11" s="10"/>
      <c r="T11" s="10"/>
      <c r="U11" s="10"/>
      <c r="V11" s="10"/>
      <c r="W11" s="10"/>
      <c r="X11" s="10"/>
      <c r="Y11" s="10"/>
      <c r="Z11" s="15"/>
      <c r="AA11" s="238"/>
      <c r="AB11" s="14"/>
      <c r="AC11" s="10"/>
      <c r="AD11" s="10"/>
      <c r="AE11" s="10"/>
      <c r="AF11" s="10"/>
      <c r="AG11" s="10"/>
      <c r="AH11" s="10"/>
      <c r="AI11" s="10"/>
      <c r="AJ11" s="10"/>
      <c r="AK11" s="15"/>
      <c r="AL11" s="238"/>
      <c r="AM11" s="14"/>
      <c r="AN11" s="10"/>
      <c r="AO11" s="10"/>
      <c r="AP11" s="10"/>
      <c r="AQ11" s="10"/>
      <c r="AR11" s="10"/>
      <c r="AS11" s="10"/>
      <c r="AT11" s="10"/>
      <c r="AU11" s="10"/>
      <c r="AV11" s="15"/>
      <c r="AW11" s="238"/>
      <c r="AX11" s="14"/>
      <c r="AY11" s="10"/>
      <c r="AZ11" s="10"/>
      <c r="BA11" s="10"/>
      <c r="BB11" s="10"/>
      <c r="BC11" s="10"/>
      <c r="BD11" s="10"/>
      <c r="BE11" s="10"/>
      <c r="BF11" s="10"/>
      <c r="BG11" s="15"/>
      <c r="BH11" s="238"/>
      <c r="BI11" s="14"/>
      <c r="BJ11" s="10"/>
      <c r="BK11" s="10"/>
      <c r="BL11" s="10"/>
      <c r="BM11" s="10"/>
      <c r="BN11" s="10"/>
      <c r="BO11" s="10"/>
      <c r="BP11" s="10"/>
      <c r="BQ11" s="10"/>
      <c r="BR11" s="15"/>
      <c r="BS11" s="238"/>
      <c r="BT11" s="14"/>
      <c r="BU11" s="10"/>
      <c r="BV11" s="10"/>
      <c r="BW11" s="10"/>
      <c r="BX11" s="10"/>
      <c r="BY11" s="10"/>
      <c r="BZ11" s="10"/>
      <c r="CA11" s="10"/>
      <c r="CB11" s="14"/>
      <c r="CC11" s="10"/>
      <c r="CD11" s="10"/>
      <c r="CE11" s="10"/>
      <c r="CF11" s="10"/>
      <c r="CG11" s="10"/>
      <c r="CH11" s="10"/>
      <c r="CI11" s="238"/>
      <c r="CJ11" s="14"/>
      <c r="CK11" s="10"/>
      <c r="CL11" s="10"/>
      <c r="CM11" s="10"/>
      <c r="CN11" s="10"/>
      <c r="CO11" s="10"/>
      <c r="CP11" s="10"/>
      <c r="CQ11" s="10"/>
      <c r="CR11" s="14"/>
      <c r="CS11" s="10"/>
      <c r="CT11" s="10"/>
      <c r="CU11" s="10"/>
      <c r="CV11" s="10"/>
      <c r="CW11" s="10"/>
      <c r="CX11" s="10"/>
      <c r="CY11" s="238"/>
      <c r="CZ11" s="14"/>
      <c r="DA11" s="10"/>
      <c r="DB11" s="10"/>
      <c r="DC11" s="10"/>
      <c r="DD11" s="10"/>
      <c r="DE11" s="10"/>
      <c r="DF11" s="10"/>
      <c r="DG11" s="10"/>
      <c r="DH11" s="14"/>
      <c r="DI11" s="10"/>
      <c r="DJ11" s="10"/>
      <c r="DK11" s="10"/>
      <c r="DL11" s="10"/>
      <c r="DM11" s="10"/>
      <c r="DN11" s="10"/>
      <c r="DO11" s="238"/>
      <c r="DP11" s="14"/>
      <c r="DQ11" s="10"/>
      <c r="DR11" s="10"/>
      <c r="DS11" s="10"/>
      <c r="DT11" s="10"/>
      <c r="DU11" s="10"/>
      <c r="DV11" s="10"/>
      <c r="DW11" s="10"/>
      <c r="DX11" s="14"/>
      <c r="DY11" s="10"/>
      <c r="DZ11" s="10"/>
      <c r="EA11" s="10"/>
      <c r="EB11" s="10"/>
      <c r="EC11" s="10"/>
      <c r="ED11" s="10"/>
      <c r="EE11" s="238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238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238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238"/>
      <c r="FP11" s="14"/>
      <c r="FQ11" s="14"/>
      <c r="FR11" s="14"/>
      <c r="FS11" s="14"/>
      <c r="FT11" s="14"/>
      <c r="FU11" s="238"/>
      <c r="FV11" s="14"/>
      <c r="FW11" s="14"/>
      <c r="FX11" s="14"/>
      <c r="FY11" s="14"/>
      <c r="FZ11" s="14"/>
      <c r="GA11" s="120"/>
      <c r="GB11" s="122" t="str">
        <f t="shared" si="0"/>
        <v/>
      </c>
      <c r="GC11" s="140" t="str">
        <f t="shared" si="1"/>
        <v/>
      </c>
      <c r="GD11" s="122">
        <f t="shared" si="2"/>
        <v>0</v>
      </c>
      <c r="GE11" s="122">
        <f t="shared" si="3"/>
        <v>0</v>
      </c>
      <c r="GF11" s="122">
        <f t="shared" si="4"/>
        <v>0</v>
      </c>
      <c r="GG11" s="122">
        <f t="shared" si="5"/>
        <v>0</v>
      </c>
      <c r="GH11" s="122">
        <f t="shared" si="6"/>
        <v>0</v>
      </c>
      <c r="GI11" s="122">
        <f t="shared" si="7"/>
        <v>0</v>
      </c>
      <c r="GJ11" s="122">
        <f t="shared" si="8"/>
        <v>0</v>
      </c>
      <c r="GK11" s="122">
        <f t="shared" si="9"/>
        <v>0</v>
      </c>
      <c r="GL11" s="122">
        <f t="shared" si="10"/>
        <v>0</v>
      </c>
      <c r="GM11" s="122">
        <f t="shared" si="11"/>
        <v>0</v>
      </c>
      <c r="GN11" s="122">
        <f t="shared" si="12"/>
        <v>0</v>
      </c>
      <c r="GO11" s="122">
        <f t="shared" si="13"/>
        <v>0</v>
      </c>
      <c r="GP11" s="122">
        <f t="shared" si="14"/>
        <v>0</v>
      </c>
      <c r="GQ11" s="122">
        <f t="shared" si="15"/>
        <v>0</v>
      </c>
      <c r="GR11" s="122">
        <f t="shared" si="16"/>
        <v>0</v>
      </c>
      <c r="GS11" s="123">
        <f t="shared" si="17"/>
        <v>0</v>
      </c>
      <c r="GT11"/>
      <c r="GU11"/>
      <c r="GV11"/>
      <c r="GW11"/>
      <c r="GX11" s="118"/>
      <c r="GY11" s="118"/>
      <c r="GZ11" s="118"/>
      <c r="HA11" s="118"/>
      <c r="HB11" s="118"/>
      <c r="HC11" s="118"/>
      <c r="HD11" s="118"/>
      <c r="HE11" s="118"/>
      <c r="HF11" s="118"/>
      <c r="HG11" s="118"/>
      <c r="HH11" s="118"/>
      <c r="HI11" s="118"/>
      <c r="HJ11" s="118"/>
      <c r="HK11" s="118"/>
      <c r="HL11" s="118"/>
    </row>
    <row r="12" spans="1:220" s="74" customFormat="1" ht="30" hidden="1" customHeight="1" x14ac:dyDescent="0.35">
      <c r="A12" s="119">
        <v>3</v>
      </c>
      <c r="B12" s="3"/>
      <c r="C12" s="6"/>
      <c r="D12" s="3"/>
      <c r="E12" s="246"/>
      <c r="F12" s="8"/>
      <c r="G12" s="8"/>
      <c r="H12" s="8"/>
      <c r="I12" s="8"/>
      <c r="J12" s="8"/>
      <c r="K12" s="8"/>
      <c r="L12" s="8"/>
      <c r="M12" s="8"/>
      <c r="N12" s="8"/>
      <c r="O12" s="9"/>
      <c r="P12" s="238"/>
      <c r="Q12" s="12"/>
      <c r="R12" s="8"/>
      <c r="S12" s="8"/>
      <c r="T12" s="8"/>
      <c r="U12" s="8"/>
      <c r="V12" s="8"/>
      <c r="W12" s="8"/>
      <c r="X12" s="8"/>
      <c r="Y12" s="8"/>
      <c r="Z12" s="13"/>
      <c r="AA12" s="238"/>
      <c r="AB12" s="12"/>
      <c r="AC12" s="8"/>
      <c r="AD12" s="8"/>
      <c r="AE12" s="8"/>
      <c r="AF12" s="8"/>
      <c r="AG12" s="8"/>
      <c r="AH12" s="8"/>
      <c r="AI12" s="8"/>
      <c r="AJ12" s="8"/>
      <c r="AK12" s="13"/>
      <c r="AL12" s="238"/>
      <c r="AM12" s="12"/>
      <c r="AN12" s="8"/>
      <c r="AO12" s="8"/>
      <c r="AP12" s="8"/>
      <c r="AQ12" s="8"/>
      <c r="AR12" s="8"/>
      <c r="AS12" s="8"/>
      <c r="AT12" s="8"/>
      <c r="AU12" s="8"/>
      <c r="AV12" s="13"/>
      <c r="AW12" s="238"/>
      <c r="AX12" s="12"/>
      <c r="AY12" s="8"/>
      <c r="AZ12" s="8"/>
      <c r="BA12" s="8"/>
      <c r="BB12" s="8"/>
      <c r="BC12" s="8"/>
      <c r="BD12" s="8"/>
      <c r="BE12" s="8"/>
      <c r="BF12" s="8"/>
      <c r="BG12" s="13"/>
      <c r="BH12" s="238"/>
      <c r="BI12" s="12"/>
      <c r="BJ12" s="8"/>
      <c r="BK12" s="8"/>
      <c r="BL12" s="8"/>
      <c r="BM12" s="8"/>
      <c r="BN12" s="8"/>
      <c r="BO12" s="8"/>
      <c r="BP12" s="8"/>
      <c r="BQ12" s="8"/>
      <c r="BR12" s="13"/>
      <c r="BS12" s="238"/>
      <c r="BT12" s="12"/>
      <c r="BU12" s="8"/>
      <c r="BV12" s="8"/>
      <c r="BW12" s="8"/>
      <c r="BX12" s="8"/>
      <c r="BY12" s="8"/>
      <c r="BZ12" s="8"/>
      <c r="CA12" s="8"/>
      <c r="CB12" s="12"/>
      <c r="CC12" s="8"/>
      <c r="CD12" s="8"/>
      <c r="CE12" s="8"/>
      <c r="CF12" s="8"/>
      <c r="CG12" s="8"/>
      <c r="CH12" s="8"/>
      <c r="CI12" s="238"/>
      <c r="CJ12" s="12"/>
      <c r="CK12" s="8"/>
      <c r="CL12" s="8"/>
      <c r="CM12" s="8"/>
      <c r="CN12" s="8"/>
      <c r="CO12" s="8"/>
      <c r="CP12" s="8"/>
      <c r="CQ12" s="8"/>
      <c r="CR12" s="12"/>
      <c r="CS12" s="8"/>
      <c r="CT12" s="8"/>
      <c r="CU12" s="8"/>
      <c r="CV12" s="8"/>
      <c r="CW12" s="8"/>
      <c r="CX12" s="8"/>
      <c r="CY12" s="238"/>
      <c r="CZ12" s="12"/>
      <c r="DA12" s="8"/>
      <c r="DB12" s="8"/>
      <c r="DC12" s="8"/>
      <c r="DD12" s="8"/>
      <c r="DE12" s="8"/>
      <c r="DF12" s="8"/>
      <c r="DG12" s="8"/>
      <c r="DH12" s="12"/>
      <c r="DI12" s="8"/>
      <c r="DJ12" s="8"/>
      <c r="DK12" s="8"/>
      <c r="DL12" s="8"/>
      <c r="DM12" s="8"/>
      <c r="DN12" s="8"/>
      <c r="DO12" s="238"/>
      <c r="DP12" s="12"/>
      <c r="DQ12" s="8"/>
      <c r="DR12" s="8"/>
      <c r="DS12" s="8"/>
      <c r="DT12" s="8"/>
      <c r="DU12" s="8"/>
      <c r="DV12" s="8"/>
      <c r="DW12" s="8"/>
      <c r="DX12" s="12"/>
      <c r="DY12" s="8"/>
      <c r="DZ12" s="8"/>
      <c r="EA12" s="8"/>
      <c r="EB12" s="8"/>
      <c r="EC12" s="8"/>
      <c r="ED12" s="8"/>
      <c r="EE12" s="238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238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238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238"/>
      <c r="FP12" s="12"/>
      <c r="FQ12" s="12"/>
      <c r="FR12" s="12"/>
      <c r="FS12" s="12"/>
      <c r="FT12" s="12"/>
      <c r="FU12" s="238"/>
      <c r="FV12" s="12"/>
      <c r="FW12" s="12"/>
      <c r="FX12" s="12"/>
      <c r="FY12" s="12"/>
      <c r="FZ12" s="12"/>
      <c r="GA12" s="120"/>
      <c r="GB12" s="118" t="str">
        <f t="shared" si="0"/>
        <v/>
      </c>
      <c r="GC12" s="139" t="str">
        <f t="shared" si="1"/>
        <v/>
      </c>
      <c r="GD12" s="118">
        <f t="shared" si="2"/>
        <v>0</v>
      </c>
      <c r="GE12" s="118">
        <f t="shared" si="3"/>
        <v>0</v>
      </c>
      <c r="GF12" s="118">
        <f t="shared" si="4"/>
        <v>0</v>
      </c>
      <c r="GG12" s="118">
        <f t="shared" si="5"/>
        <v>0</v>
      </c>
      <c r="GH12" s="118">
        <f t="shared" si="6"/>
        <v>0</v>
      </c>
      <c r="GI12" s="118">
        <f t="shared" si="7"/>
        <v>0</v>
      </c>
      <c r="GJ12" s="118">
        <f t="shared" si="8"/>
        <v>0</v>
      </c>
      <c r="GK12" s="118">
        <f t="shared" si="9"/>
        <v>0</v>
      </c>
      <c r="GL12" s="118">
        <f t="shared" si="10"/>
        <v>0</v>
      </c>
      <c r="GM12" s="118">
        <f t="shared" si="11"/>
        <v>0</v>
      </c>
      <c r="GN12" s="118">
        <f t="shared" si="12"/>
        <v>0</v>
      </c>
      <c r="GO12" s="118">
        <f t="shared" si="13"/>
        <v>0</v>
      </c>
      <c r="GP12" s="118">
        <f t="shared" si="14"/>
        <v>0</v>
      </c>
      <c r="GQ12" s="118">
        <f t="shared" si="15"/>
        <v>0</v>
      </c>
      <c r="GR12" s="118">
        <f t="shared" si="16"/>
        <v>0</v>
      </c>
      <c r="GS12" s="121">
        <f t="shared" si="17"/>
        <v>0</v>
      </c>
      <c r="GT12"/>
      <c r="GU12"/>
      <c r="GV12"/>
      <c r="GW12"/>
      <c r="GX12" s="118"/>
      <c r="GY12" s="118"/>
      <c r="GZ12" s="118"/>
      <c r="HA12" s="118"/>
      <c r="HB12" s="118"/>
      <c r="HC12" s="118"/>
      <c r="HD12" s="118"/>
      <c r="HE12" s="118"/>
      <c r="HF12" s="118"/>
      <c r="HG12" s="118"/>
      <c r="HH12" s="118"/>
      <c r="HI12" s="118"/>
      <c r="HJ12" s="118"/>
      <c r="HK12" s="118"/>
      <c r="HL12" s="118"/>
    </row>
    <row r="13" spans="1:220" s="74" customFormat="1" ht="30" hidden="1" customHeight="1" x14ac:dyDescent="0.35">
      <c r="A13" s="119">
        <v>4</v>
      </c>
      <c r="B13" s="4"/>
      <c r="C13" s="7"/>
      <c r="D13" s="4"/>
      <c r="E13" s="246"/>
      <c r="F13" s="10"/>
      <c r="G13" s="10"/>
      <c r="H13" s="10"/>
      <c r="I13" s="10"/>
      <c r="J13" s="10"/>
      <c r="K13" s="10"/>
      <c r="L13" s="10"/>
      <c r="M13" s="10"/>
      <c r="N13" s="10"/>
      <c r="O13" s="11"/>
      <c r="P13" s="238"/>
      <c r="Q13" s="14"/>
      <c r="R13" s="10"/>
      <c r="S13" s="10"/>
      <c r="T13" s="10"/>
      <c r="U13" s="10"/>
      <c r="V13" s="10"/>
      <c r="W13" s="10"/>
      <c r="X13" s="10"/>
      <c r="Y13" s="10"/>
      <c r="Z13" s="15"/>
      <c r="AA13" s="238"/>
      <c r="AB13" s="14"/>
      <c r="AC13" s="10"/>
      <c r="AD13" s="10"/>
      <c r="AE13" s="10"/>
      <c r="AF13" s="10"/>
      <c r="AG13" s="10"/>
      <c r="AH13" s="10"/>
      <c r="AI13" s="10"/>
      <c r="AJ13" s="10"/>
      <c r="AK13" s="15"/>
      <c r="AL13" s="238"/>
      <c r="AM13" s="14"/>
      <c r="AN13" s="10"/>
      <c r="AO13" s="10"/>
      <c r="AP13" s="10"/>
      <c r="AQ13" s="10"/>
      <c r="AR13" s="10"/>
      <c r="AS13" s="10"/>
      <c r="AT13" s="10"/>
      <c r="AU13" s="10"/>
      <c r="AV13" s="15"/>
      <c r="AW13" s="238"/>
      <c r="AX13" s="14"/>
      <c r="AY13" s="10"/>
      <c r="AZ13" s="10"/>
      <c r="BA13" s="10"/>
      <c r="BB13" s="10"/>
      <c r="BC13" s="10"/>
      <c r="BD13" s="10"/>
      <c r="BE13" s="10"/>
      <c r="BF13" s="10"/>
      <c r="BG13" s="15"/>
      <c r="BH13" s="238"/>
      <c r="BI13" s="14"/>
      <c r="BJ13" s="10"/>
      <c r="BK13" s="10"/>
      <c r="BL13" s="10"/>
      <c r="BM13" s="10"/>
      <c r="BN13" s="10"/>
      <c r="BO13" s="10"/>
      <c r="BP13" s="10"/>
      <c r="BQ13" s="10"/>
      <c r="BR13" s="15"/>
      <c r="BS13" s="238"/>
      <c r="BT13" s="14"/>
      <c r="BU13" s="10"/>
      <c r="BV13" s="10"/>
      <c r="BW13" s="10"/>
      <c r="BX13" s="10"/>
      <c r="BY13" s="10"/>
      <c r="BZ13" s="10"/>
      <c r="CA13" s="10"/>
      <c r="CB13" s="14"/>
      <c r="CC13" s="10"/>
      <c r="CD13" s="10"/>
      <c r="CE13" s="10"/>
      <c r="CF13" s="10"/>
      <c r="CG13" s="10"/>
      <c r="CH13" s="10"/>
      <c r="CI13" s="238"/>
      <c r="CJ13" s="14"/>
      <c r="CK13" s="10"/>
      <c r="CL13" s="10"/>
      <c r="CM13" s="10"/>
      <c r="CN13" s="10"/>
      <c r="CO13" s="10"/>
      <c r="CP13" s="10"/>
      <c r="CQ13" s="10"/>
      <c r="CR13" s="14"/>
      <c r="CS13" s="10"/>
      <c r="CT13" s="10"/>
      <c r="CU13" s="10"/>
      <c r="CV13" s="10"/>
      <c r="CW13" s="10"/>
      <c r="CX13" s="10"/>
      <c r="CY13" s="238"/>
      <c r="CZ13" s="14"/>
      <c r="DA13" s="10"/>
      <c r="DB13" s="10"/>
      <c r="DC13" s="10"/>
      <c r="DD13" s="10"/>
      <c r="DE13" s="10"/>
      <c r="DF13" s="10"/>
      <c r="DG13" s="10"/>
      <c r="DH13" s="14"/>
      <c r="DI13" s="10"/>
      <c r="DJ13" s="10"/>
      <c r="DK13" s="10"/>
      <c r="DL13" s="10"/>
      <c r="DM13" s="10"/>
      <c r="DN13" s="10"/>
      <c r="DO13" s="238"/>
      <c r="DP13" s="14"/>
      <c r="DQ13" s="10"/>
      <c r="DR13" s="10"/>
      <c r="DS13" s="10"/>
      <c r="DT13" s="10"/>
      <c r="DU13" s="10"/>
      <c r="DV13" s="10"/>
      <c r="DW13" s="10"/>
      <c r="DX13" s="14"/>
      <c r="DY13" s="10"/>
      <c r="DZ13" s="10"/>
      <c r="EA13" s="10"/>
      <c r="EB13" s="10"/>
      <c r="EC13" s="10"/>
      <c r="ED13" s="10"/>
      <c r="EE13" s="238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238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238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238"/>
      <c r="FP13" s="14"/>
      <c r="FQ13" s="14"/>
      <c r="FR13" s="14"/>
      <c r="FS13" s="14"/>
      <c r="FT13" s="14"/>
      <c r="FU13" s="238"/>
      <c r="FV13" s="14"/>
      <c r="FW13" s="14"/>
      <c r="FX13" s="14"/>
      <c r="FY13" s="14"/>
      <c r="FZ13" s="14"/>
      <c r="GA13" s="120"/>
      <c r="GB13" s="122" t="str">
        <f t="shared" si="0"/>
        <v/>
      </c>
      <c r="GC13" s="140" t="str">
        <f t="shared" si="1"/>
        <v/>
      </c>
      <c r="GD13" s="122">
        <f t="shared" si="2"/>
        <v>0</v>
      </c>
      <c r="GE13" s="122">
        <f t="shared" si="3"/>
        <v>0</v>
      </c>
      <c r="GF13" s="122">
        <f t="shared" si="4"/>
        <v>0</v>
      </c>
      <c r="GG13" s="122">
        <f t="shared" si="5"/>
        <v>0</v>
      </c>
      <c r="GH13" s="122">
        <f t="shared" si="6"/>
        <v>0</v>
      </c>
      <c r="GI13" s="122">
        <f t="shared" si="7"/>
        <v>0</v>
      </c>
      <c r="GJ13" s="122">
        <f t="shared" si="8"/>
        <v>0</v>
      </c>
      <c r="GK13" s="122">
        <f t="shared" si="9"/>
        <v>0</v>
      </c>
      <c r="GL13" s="122">
        <f t="shared" si="10"/>
        <v>0</v>
      </c>
      <c r="GM13" s="122">
        <f t="shared" si="11"/>
        <v>0</v>
      </c>
      <c r="GN13" s="122">
        <f t="shared" si="12"/>
        <v>0</v>
      </c>
      <c r="GO13" s="122">
        <f t="shared" si="13"/>
        <v>0</v>
      </c>
      <c r="GP13" s="122">
        <f t="shared" si="14"/>
        <v>0</v>
      </c>
      <c r="GQ13" s="122">
        <f t="shared" si="15"/>
        <v>0</v>
      </c>
      <c r="GR13" s="122">
        <f t="shared" si="16"/>
        <v>0</v>
      </c>
      <c r="GS13" s="123">
        <f t="shared" si="17"/>
        <v>0</v>
      </c>
      <c r="GT13"/>
      <c r="GU13"/>
      <c r="GV13"/>
      <c r="GW13"/>
      <c r="GX13" s="118"/>
      <c r="GY13" s="118"/>
      <c r="GZ13" s="118"/>
      <c r="HA13" s="118"/>
      <c r="HB13" s="118"/>
      <c r="HC13" s="118"/>
      <c r="HD13" s="118"/>
      <c r="HE13" s="118"/>
      <c r="HF13" s="118"/>
      <c r="HG13" s="118"/>
      <c r="HH13" s="118"/>
      <c r="HI13" s="118"/>
      <c r="HJ13" s="118"/>
      <c r="HK13" s="118"/>
      <c r="HL13" s="118"/>
    </row>
    <row r="14" spans="1:220" s="74" customFormat="1" ht="30" hidden="1" customHeight="1" x14ac:dyDescent="0.35">
      <c r="A14" s="119">
        <v>5</v>
      </c>
      <c r="B14" s="3"/>
      <c r="C14" s="6"/>
      <c r="D14" s="3"/>
      <c r="E14" s="246"/>
      <c r="F14" s="8"/>
      <c r="G14" s="8"/>
      <c r="H14" s="8"/>
      <c r="I14" s="8"/>
      <c r="J14" s="8"/>
      <c r="K14" s="8"/>
      <c r="L14" s="8"/>
      <c r="M14" s="8"/>
      <c r="N14" s="8"/>
      <c r="O14" s="9"/>
      <c r="P14" s="238"/>
      <c r="Q14" s="12"/>
      <c r="R14" s="8"/>
      <c r="S14" s="8"/>
      <c r="T14" s="8"/>
      <c r="U14" s="8"/>
      <c r="V14" s="8"/>
      <c r="W14" s="8"/>
      <c r="X14" s="8"/>
      <c r="Y14" s="8"/>
      <c r="Z14" s="13"/>
      <c r="AA14" s="238"/>
      <c r="AB14" s="12"/>
      <c r="AC14" s="8"/>
      <c r="AD14" s="8"/>
      <c r="AE14" s="8"/>
      <c r="AF14" s="8"/>
      <c r="AG14" s="8"/>
      <c r="AH14" s="8"/>
      <c r="AI14" s="8"/>
      <c r="AJ14" s="8"/>
      <c r="AK14" s="13"/>
      <c r="AL14" s="238"/>
      <c r="AM14" s="12"/>
      <c r="AN14" s="8"/>
      <c r="AO14" s="8"/>
      <c r="AP14" s="8"/>
      <c r="AQ14" s="8"/>
      <c r="AR14" s="8"/>
      <c r="AS14" s="8"/>
      <c r="AT14" s="8"/>
      <c r="AU14" s="8"/>
      <c r="AV14" s="13"/>
      <c r="AW14" s="238"/>
      <c r="AX14" s="12"/>
      <c r="AY14" s="8"/>
      <c r="AZ14" s="8"/>
      <c r="BA14" s="8"/>
      <c r="BB14" s="8"/>
      <c r="BC14" s="8"/>
      <c r="BD14" s="8"/>
      <c r="BE14" s="8"/>
      <c r="BF14" s="8"/>
      <c r="BG14" s="13"/>
      <c r="BH14" s="238"/>
      <c r="BI14" s="12"/>
      <c r="BJ14" s="8"/>
      <c r="BK14" s="8"/>
      <c r="BL14" s="8"/>
      <c r="BM14" s="8"/>
      <c r="BN14" s="8"/>
      <c r="BO14" s="8"/>
      <c r="BP14" s="8"/>
      <c r="BQ14" s="8"/>
      <c r="BR14" s="13"/>
      <c r="BS14" s="238"/>
      <c r="BT14" s="12"/>
      <c r="BU14" s="8"/>
      <c r="BV14" s="8"/>
      <c r="BW14" s="8"/>
      <c r="BX14" s="8"/>
      <c r="BY14" s="8"/>
      <c r="BZ14" s="8"/>
      <c r="CA14" s="8"/>
      <c r="CB14" s="12"/>
      <c r="CC14" s="8"/>
      <c r="CD14" s="8"/>
      <c r="CE14" s="8"/>
      <c r="CF14" s="8"/>
      <c r="CG14" s="8"/>
      <c r="CH14" s="8"/>
      <c r="CI14" s="238"/>
      <c r="CJ14" s="12"/>
      <c r="CK14" s="8"/>
      <c r="CL14" s="8"/>
      <c r="CM14" s="8"/>
      <c r="CN14" s="8"/>
      <c r="CO14" s="8"/>
      <c r="CP14" s="8"/>
      <c r="CQ14" s="8"/>
      <c r="CR14" s="12"/>
      <c r="CS14" s="8"/>
      <c r="CT14" s="8"/>
      <c r="CU14" s="8"/>
      <c r="CV14" s="8"/>
      <c r="CW14" s="8"/>
      <c r="CX14" s="8"/>
      <c r="CY14" s="238"/>
      <c r="CZ14" s="12"/>
      <c r="DA14" s="8"/>
      <c r="DB14" s="8"/>
      <c r="DC14" s="8"/>
      <c r="DD14" s="8"/>
      <c r="DE14" s="8"/>
      <c r="DF14" s="8"/>
      <c r="DG14" s="8"/>
      <c r="DH14" s="12"/>
      <c r="DI14" s="8"/>
      <c r="DJ14" s="8"/>
      <c r="DK14" s="8"/>
      <c r="DL14" s="8"/>
      <c r="DM14" s="8"/>
      <c r="DN14" s="8"/>
      <c r="DO14" s="238"/>
      <c r="DP14" s="12"/>
      <c r="DQ14" s="8"/>
      <c r="DR14" s="8"/>
      <c r="DS14" s="8"/>
      <c r="DT14" s="8"/>
      <c r="DU14" s="8"/>
      <c r="DV14" s="8"/>
      <c r="DW14" s="8"/>
      <c r="DX14" s="12"/>
      <c r="DY14" s="8"/>
      <c r="DZ14" s="8"/>
      <c r="EA14" s="8"/>
      <c r="EB14" s="8"/>
      <c r="EC14" s="8"/>
      <c r="ED14" s="8"/>
      <c r="EE14" s="238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238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238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238"/>
      <c r="FP14" s="12"/>
      <c r="FQ14" s="12"/>
      <c r="FR14" s="12"/>
      <c r="FS14" s="12"/>
      <c r="FT14" s="12"/>
      <c r="FU14" s="238"/>
      <c r="FV14" s="12"/>
      <c r="FW14" s="12"/>
      <c r="FX14" s="12"/>
      <c r="FY14" s="12"/>
      <c r="FZ14" s="12"/>
      <c r="GA14" s="120"/>
      <c r="GB14" s="118" t="str">
        <f t="shared" si="0"/>
        <v/>
      </c>
      <c r="GC14" s="139" t="str">
        <f t="shared" si="1"/>
        <v/>
      </c>
      <c r="GD14" s="118">
        <f t="shared" si="2"/>
        <v>0</v>
      </c>
      <c r="GE14" s="118">
        <f t="shared" si="3"/>
        <v>0</v>
      </c>
      <c r="GF14" s="118">
        <f t="shared" si="4"/>
        <v>0</v>
      </c>
      <c r="GG14" s="118">
        <f t="shared" si="5"/>
        <v>0</v>
      </c>
      <c r="GH14" s="118">
        <f t="shared" si="6"/>
        <v>0</v>
      </c>
      <c r="GI14" s="118">
        <f t="shared" si="7"/>
        <v>0</v>
      </c>
      <c r="GJ14" s="118">
        <f t="shared" si="8"/>
        <v>0</v>
      </c>
      <c r="GK14" s="118">
        <f t="shared" si="9"/>
        <v>0</v>
      </c>
      <c r="GL14" s="118">
        <f t="shared" si="10"/>
        <v>0</v>
      </c>
      <c r="GM14" s="118">
        <f t="shared" si="11"/>
        <v>0</v>
      </c>
      <c r="GN14" s="118">
        <f t="shared" si="12"/>
        <v>0</v>
      </c>
      <c r="GO14" s="118">
        <f t="shared" si="13"/>
        <v>0</v>
      </c>
      <c r="GP14" s="118">
        <f t="shared" si="14"/>
        <v>0</v>
      </c>
      <c r="GQ14" s="118">
        <f t="shared" si="15"/>
        <v>0</v>
      </c>
      <c r="GR14" s="118">
        <f t="shared" si="16"/>
        <v>0</v>
      </c>
      <c r="GS14" s="121">
        <f t="shared" si="17"/>
        <v>0</v>
      </c>
      <c r="GT14"/>
      <c r="GU14"/>
      <c r="GV14"/>
      <c r="GW14"/>
      <c r="GX14" s="118"/>
      <c r="GY14" s="118"/>
      <c r="GZ14" s="118"/>
      <c r="HA14" s="118"/>
      <c r="HB14" s="118"/>
      <c r="HC14" s="118"/>
      <c r="HD14" s="118"/>
      <c r="HE14" s="118"/>
      <c r="HF14" s="118"/>
      <c r="HG14" s="118"/>
      <c r="HH14" s="118"/>
      <c r="HI14" s="118"/>
      <c r="HJ14" s="118"/>
      <c r="HK14" s="118"/>
      <c r="HL14" s="118"/>
    </row>
    <row r="15" spans="1:220" s="74" customFormat="1" ht="30" hidden="1" customHeight="1" x14ac:dyDescent="0.35">
      <c r="A15" s="119">
        <v>6</v>
      </c>
      <c r="B15" s="4"/>
      <c r="C15" s="7"/>
      <c r="D15" s="4"/>
      <c r="E15" s="246"/>
      <c r="F15" s="10"/>
      <c r="G15" s="10"/>
      <c r="H15" s="10"/>
      <c r="I15" s="10"/>
      <c r="J15" s="10"/>
      <c r="K15" s="10"/>
      <c r="L15" s="10"/>
      <c r="M15" s="10"/>
      <c r="N15" s="10"/>
      <c r="O15" s="11"/>
      <c r="P15" s="238"/>
      <c r="Q15" s="14"/>
      <c r="R15" s="10"/>
      <c r="S15" s="10"/>
      <c r="T15" s="10"/>
      <c r="U15" s="10"/>
      <c r="V15" s="10"/>
      <c r="W15" s="10"/>
      <c r="X15" s="10"/>
      <c r="Y15" s="10"/>
      <c r="Z15" s="15"/>
      <c r="AA15" s="238"/>
      <c r="AB15" s="14"/>
      <c r="AC15" s="10"/>
      <c r="AD15" s="10"/>
      <c r="AE15" s="10"/>
      <c r="AF15" s="10"/>
      <c r="AG15" s="10"/>
      <c r="AH15" s="10"/>
      <c r="AI15" s="10"/>
      <c r="AJ15" s="10"/>
      <c r="AK15" s="15"/>
      <c r="AL15" s="238"/>
      <c r="AM15" s="14"/>
      <c r="AN15" s="10"/>
      <c r="AO15" s="10"/>
      <c r="AP15" s="10"/>
      <c r="AQ15" s="10"/>
      <c r="AR15" s="10"/>
      <c r="AS15" s="10"/>
      <c r="AT15" s="10"/>
      <c r="AU15" s="10"/>
      <c r="AV15" s="15"/>
      <c r="AW15" s="238"/>
      <c r="AX15" s="14"/>
      <c r="AY15" s="10"/>
      <c r="AZ15" s="10"/>
      <c r="BA15" s="10"/>
      <c r="BB15" s="10"/>
      <c r="BC15" s="10"/>
      <c r="BD15" s="10"/>
      <c r="BE15" s="10"/>
      <c r="BF15" s="10"/>
      <c r="BG15" s="15"/>
      <c r="BH15" s="238"/>
      <c r="BI15" s="14"/>
      <c r="BJ15" s="10"/>
      <c r="BK15" s="10"/>
      <c r="BL15" s="10"/>
      <c r="BM15" s="10"/>
      <c r="BN15" s="10"/>
      <c r="BO15" s="10"/>
      <c r="BP15" s="10"/>
      <c r="BQ15" s="10"/>
      <c r="BR15" s="15"/>
      <c r="BS15" s="238"/>
      <c r="BT15" s="14"/>
      <c r="BU15" s="10"/>
      <c r="BV15" s="10"/>
      <c r="BW15" s="10"/>
      <c r="BX15" s="10"/>
      <c r="BY15" s="10"/>
      <c r="BZ15" s="10"/>
      <c r="CA15" s="10"/>
      <c r="CB15" s="14"/>
      <c r="CC15" s="10"/>
      <c r="CD15" s="10"/>
      <c r="CE15" s="10"/>
      <c r="CF15" s="10"/>
      <c r="CG15" s="10"/>
      <c r="CH15" s="10"/>
      <c r="CI15" s="238"/>
      <c r="CJ15" s="14"/>
      <c r="CK15" s="10"/>
      <c r="CL15" s="10"/>
      <c r="CM15" s="10"/>
      <c r="CN15" s="10"/>
      <c r="CO15" s="10"/>
      <c r="CP15" s="10"/>
      <c r="CQ15" s="10"/>
      <c r="CR15" s="14"/>
      <c r="CS15" s="10"/>
      <c r="CT15" s="10"/>
      <c r="CU15" s="10"/>
      <c r="CV15" s="10"/>
      <c r="CW15" s="10"/>
      <c r="CX15" s="10"/>
      <c r="CY15" s="238"/>
      <c r="CZ15" s="14"/>
      <c r="DA15" s="10"/>
      <c r="DB15" s="10"/>
      <c r="DC15" s="10"/>
      <c r="DD15" s="10"/>
      <c r="DE15" s="10"/>
      <c r="DF15" s="10"/>
      <c r="DG15" s="10"/>
      <c r="DH15" s="14"/>
      <c r="DI15" s="10"/>
      <c r="DJ15" s="10"/>
      <c r="DK15" s="10"/>
      <c r="DL15" s="10"/>
      <c r="DM15" s="10"/>
      <c r="DN15" s="10"/>
      <c r="DO15" s="238"/>
      <c r="DP15" s="14"/>
      <c r="DQ15" s="10"/>
      <c r="DR15" s="10"/>
      <c r="DS15" s="10"/>
      <c r="DT15" s="10"/>
      <c r="DU15" s="10"/>
      <c r="DV15" s="10"/>
      <c r="DW15" s="10"/>
      <c r="DX15" s="14"/>
      <c r="DY15" s="10"/>
      <c r="DZ15" s="10"/>
      <c r="EA15" s="10"/>
      <c r="EB15" s="10"/>
      <c r="EC15" s="10"/>
      <c r="ED15" s="10"/>
      <c r="EE15" s="238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238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238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238"/>
      <c r="FP15" s="14"/>
      <c r="FQ15" s="14"/>
      <c r="FR15" s="14"/>
      <c r="FS15" s="14"/>
      <c r="FT15" s="14"/>
      <c r="FU15" s="238"/>
      <c r="FV15" s="14"/>
      <c r="FW15" s="14"/>
      <c r="FX15" s="14"/>
      <c r="FY15" s="14"/>
      <c r="FZ15" s="14"/>
      <c r="GA15" s="120"/>
      <c r="GB15" s="122" t="str">
        <f t="shared" si="0"/>
        <v/>
      </c>
      <c r="GC15" s="140" t="str">
        <f t="shared" si="1"/>
        <v/>
      </c>
      <c r="GD15" s="122">
        <f t="shared" si="2"/>
        <v>0</v>
      </c>
      <c r="GE15" s="122">
        <f t="shared" si="3"/>
        <v>0</v>
      </c>
      <c r="GF15" s="122">
        <f t="shared" si="4"/>
        <v>0</v>
      </c>
      <c r="GG15" s="122">
        <f t="shared" si="5"/>
        <v>0</v>
      </c>
      <c r="GH15" s="122">
        <f t="shared" si="6"/>
        <v>0</v>
      </c>
      <c r="GI15" s="122">
        <f t="shared" si="7"/>
        <v>0</v>
      </c>
      <c r="GJ15" s="122">
        <f t="shared" si="8"/>
        <v>0</v>
      </c>
      <c r="GK15" s="122">
        <f t="shared" si="9"/>
        <v>0</v>
      </c>
      <c r="GL15" s="122">
        <f t="shared" si="10"/>
        <v>0</v>
      </c>
      <c r="GM15" s="122">
        <f t="shared" si="11"/>
        <v>0</v>
      </c>
      <c r="GN15" s="122">
        <f t="shared" si="12"/>
        <v>0</v>
      </c>
      <c r="GO15" s="122">
        <f t="shared" si="13"/>
        <v>0</v>
      </c>
      <c r="GP15" s="122">
        <f t="shared" si="14"/>
        <v>0</v>
      </c>
      <c r="GQ15" s="122">
        <f t="shared" si="15"/>
        <v>0</v>
      </c>
      <c r="GR15" s="122">
        <f t="shared" si="16"/>
        <v>0</v>
      </c>
      <c r="GS15" s="123">
        <f t="shared" si="17"/>
        <v>0</v>
      </c>
      <c r="GT15"/>
      <c r="GU15"/>
      <c r="GV15"/>
      <c r="GW15"/>
      <c r="GX15" s="118"/>
      <c r="GY15" s="118"/>
      <c r="GZ15" s="118"/>
      <c r="HA15" s="118"/>
      <c r="HB15" s="118"/>
      <c r="HC15" s="118"/>
      <c r="HD15" s="118"/>
      <c r="HE15" s="118"/>
      <c r="HF15" s="118"/>
      <c r="HG15" s="118"/>
      <c r="HH15" s="118"/>
      <c r="HI15" s="118"/>
      <c r="HJ15" s="118"/>
      <c r="HK15" s="118"/>
      <c r="HL15" s="118"/>
    </row>
    <row r="16" spans="1:220" s="74" customFormat="1" ht="30" hidden="1" customHeight="1" x14ac:dyDescent="0.35">
      <c r="A16" s="119">
        <v>7</v>
      </c>
      <c r="B16" s="3"/>
      <c r="C16" s="6"/>
      <c r="D16" s="3"/>
      <c r="E16" s="246"/>
      <c r="F16" s="8"/>
      <c r="G16" s="8"/>
      <c r="H16" s="8"/>
      <c r="I16" s="8"/>
      <c r="J16" s="8"/>
      <c r="K16" s="8"/>
      <c r="L16" s="8"/>
      <c r="M16" s="8"/>
      <c r="N16" s="8"/>
      <c r="O16" s="9"/>
      <c r="P16" s="238"/>
      <c r="Q16" s="12"/>
      <c r="R16" s="8"/>
      <c r="S16" s="8"/>
      <c r="T16" s="8"/>
      <c r="U16" s="8"/>
      <c r="V16" s="8"/>
      <c r="W16" s="8"/>
      <c r="X16" s="8"/>
      <c r="Y16" s="8"/>
      <c r="Z16" s="13"/>
      <c r="AA16" s="238"/>
      <c r="AB16" s="12"/>
      <c r="AC16" s="8"/>
      <c r="AD16" s="8"/>
      <c r="AE16" s="8"/>
      <c r="AF16" s="8"/>
      <c r="AG16" s="8"/>
      <c r="AH16" s="8"/>
      <c r="AI16" s="8"/>
      <c r="AJ16" s="8"/>
      <c r="AK16" s="13"/>
      <c r="AL16" s="238"/>
      <c r="AM16" s="12"/>
      <c r="AN16" s="8"/>
      <c r="AO16" s="8"/>
      <c r="AP16" s="8"/>
      <c r="AQ16" s="8"/>
      <c r="AR16" s="8"/>
      <c r="AS16" s="8"/>
      <c r="AT16" s="8"/>
      <c r="AU16" s="8"/>
      <c r="AV16" s="13"/>
      <c r="AW16" s="238"/>
      <c r="AX16" s="12"/>
      <c r="AY16" s="8"/>
      <c r="AZ16" s="8"/>
      <c r="BA16" s="8"/>
      <c r="BB16" s="8"/>
      <c r="BC16" s="8"/>
      <c r="BD16" s="8"/>
      <c r="BE16" s="8"/>
      <c r="BF16" s="8"/>
      <c r="BG16" s="13"/>
      <c r="BH16" s="238"/>
      <c r="BI16" s="12"/>
      <c r="BJ16" s="8"/>
      <c r="BK16" s="8"/>
      <c r="BL16" s="8"/>
      <c r="BM16" s="8"/>
      <c r="BN16" s="8"/>
      <c r="BO16" s="8"/>
      <c r="BP16" s="8"/>
      <c r="BQ16" s="8"/>
      <c r="BR16" s="13"/>
      <c r="BS16" s="238"/>
      <c r="BT16" s="12"/>
      <c r="BU16" s="8"/>
      <c r="BV16" s="8"/>
      <c r="BW16" s="8"/>
      <c r="BX16" s="8"/>
      <c r="BY16" s="8"/>
      <c r="BZ16" s="8"/>
      <c r="CA16" s="8"/>
      <c r="CB16" s="12"/>
      <c r="CC16" s="8"/>
      <c r="CD16" s="8"/>
      <c r="CE16" s="8"/>
      <c r="CF16" s="8"/>
      <c r="CG16" s="8"/>
      <c r="CH16" s="8"/>
      <c r="CI16" s="238"/>
      <c r="CJ16" s="12"/>
      <c r="CK16" s="8"/>
      <c r="CL16" s="8"/>
      <c r="CM16" s="8"/>
      <c r="CN16" s="8"/>
      <c r="CO16" s="8"/>
      <c r="CP16" s="8"/>
      <c r="CQ16" s="8"/>
      <c r="CR16" s="12"/>
      <c r="CS16" s="8"/>
      <c r="CT16" s="8"/>
      <c r="CU16" s="8"/>
      <c r="CV16" s="8"/>
      <c r="CW16" s="8"/>
      <c r="CX16" s="8"/>
      <c r="CY16" s="238"/>
      <c r="CZ16" s="12"/>
      <c r="DA16" s="8"/>
      <c r="DB16" s="8"/>
      <c r="DC16" s="8"/>
      <c r="DD16" s="8"/>
      <c r="DE16" s="8"/>
      <c r="DF16" s="8"/>
      <c r="DG16" s="8"/>
      <c r="DH16" s="12"/>
      <c r="DI16" s="8"/>
      <c r="DJ16" s="8"/>
      <c r="DK16" s="8"/>
      <c r="DL16" s="8"/>
      <c r="DM16" s="8"/>
      <c r="DN16" s="8"/>
      <c r="DO16" s="238"/>
      <c r="DP16" s="12"/>
      <c r="DQ16" s="8"/>
      <c r="DR16" s="8"/>
      <c r="DS16" s="8"/>
      <c r="DT16" s="8"/>
      <c r="DU16" s="8"/>
      <c r="DV16" s="8"/>
      <c r="DW16" s="8"/>
      <c r="DX16" s="12"/>
      <c r="DY16" s="8"/>
      <c r="DZ16" s="8"/>
      <c r="EA16" s="8"/>
      <c r="EB16" s="8"/>
      <c r="EC16" s="8"/>
      <c r="ED16" s="8"/>
      <c r="EE16" s="238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238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238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238"/>
      <c r="FP16" s="12"/>
      <c r="FQ16" s="12"/>
      <c r="FR16" s="12"/>
      <c r="FS16" s="12"/>
      <c r="FT16" s="12"/>
      <c r="FU16" s="238"/>
      <c r="FV16" s="12"/>
      <c r="FW16" s="12"/>
      <c r="FX16" s="12"/>
      <c r="FY16" s="12"/>
      <c r="FZ16" s="12"/>
      <c r="GA16" s="120"/>
      <c r="GB16" s="118" t="str">
        <f t="shared" si="0"/>
        <v/>
      </c>
      <c r="GC16" s="139" t="str">
        <f t="shared" si="1"/>
        <v/>
      </c>
      <c r="GD16" s="118">
        <f t="shared" si="2"/>
        <v>0</v>
      </c>
      <c r="GE16" s="118">
        <f t="shared" si="3"/>
        <v>0</v>
      </c>
      <c r="GF16" s="118">
        <f t="shared" si="4"/>
        <v>0</v>
      </c>
      <c r="GG16" s="118">
        <f t="shared" si="5"/>
        <v>0</v>
      </c>
      <c r="GH16" s="118">
        <f t="shared" si="6"/>
        <v>0</v>
      </c>
      <c r="GI16" s="118">
        <f t="shared" si="7"/>
        <v>0</v>
      </c>
      <c r="GJ16" s="118">
        <f t="shared" si="8"/>
        <v>0</v>
      </c>
      <c r="GK16" s="118">
        <f t="shared" si="9"/>
        <v>0</v>
      </c>
      <c r="GL16" s="118">
        <f t="shared" si="10"/>
        <v>0</v>
      </c>
      <c r="GM16" s="118">
        <f t="shared" si="11"/>
        <v>0</v>
      </c>
      <c r="GN16" s="118">
        <f t="shared" si="12"/>
        <v>0</v>
      </c>
      <c r="GO16" s="118">
        <f t="shared" si="13"/>
        <v>0</v>
      </c>
      <c r="GP16" s="118">
        <f t="shared" si="14"/>
        <v>0</v>
      </c>
      <c r="GQ16" s="118">
        <f t="shared" si="15"/>
        <v>0</v>
      </c>
      <c r="GR16" s="118">
        <f t="shared" si="16"/>
        <v>0</v>
      </c>
      <c r="GS16" s="121">
        <f t="shared" si="17"/>
        <v>0</v>
      </c>
      <c r="GT16"/>
      <c r="GU16"/>
      <c r="GV16"/>
      <c r="GW16"/>
      <c r="GX16" s="118"/>
      <c r="GY16" s="118"/>
      <c r="GZ16" s="118"/>
      <c r="HA16" s="118"/>
      <c r="HB16" s="118"/>
      <c r="HC16" s="118"/>
      <c r="HD16" s="118"/>
      <c r="HE16" s="118"/>
      <c r="HF16" s="118"/>
      <c r="HG16" s="118"/>
      <c r="HH16" s="118"/>
      <c r="HI16" s="118"/>
      <c r="HJ16" s="118"/>
      <c r="HK16" s="118"/>
      <c r="HL16" s="118"/>
    </row>
    <row r="17" spans="1:220" s="74" customFormat="1" ht="30" hidden="1" customHeight="1" x14ac:dyDescent="0.35">
      <c r="A17" s="119">
        <v>8</v>
      </c>
      <c r="B17" s="4"/>
      <c r="C17" s="7"/>
      <c r="D17" s="4"/>
      <c r="E17" s="246"/>
      <c r="F17" s="10"/>
      <c r="G17" s="10"/>
      <c r="H17" s="10"/>
      <c r="I17" s="10"/>
      <c r="J17" s="10"/>
      <c r="K17" s="10"/>
      <c r="L17" s="10"/>
      <c r="M17" s="10"/>
      <c r="N17" s="10"/>
      <c r="O17" s="11"/>
      <c r="P17" s="238"/>
      <c r="Q17" s="14"/>
      <c r="R17" s="10"/>
      <c r="S17" s="10"/>
      <c r="T17" s="10"/>
      <c r="U17" s="10"/>
      <c r="V17" s="10"/>
      <c r="W17" s="10"/>
      <c r="X17" s="10"/>
      <c r="Y17" s="10"/>
      <c r="Z17" s="15"/>
      <c r="AA17" s="238"/>
      <c r="AB17" s="14"/>
      <c r="AC17" s="10"/>
      <c r="AD17" s="10"/>
      <c r="AE17" s="10"/>
      <c r="AF17" s="10"/>
      <c r="AG17" s="10"/>
      <c r="AH17" s="10"/>
      <c r="AI17" s="10"/>
      <c r="AJ17" s="10"/>
      <c r="AK17" s="15"/>
      <c r="AL17" s="238"/>
      <c r="AM17" s="14"/>
      <c r="AN17" s="10"/>
      <c r="AO17" s="10"/>
      <c r="AP17" s="10"/>
      <c r="AQ17" s="10"/>
      <c r="AR17" s="10"/>
      <c r="AS17" s="10"/>
      <c r="AT17" s="10"/>
      <c r="AU17" s="10"/>
      <c r="AV17" s="15"/>
      <c r="AW17" s="238"/>
      <c r="AX17" s="14"/>
      <c r="AY17" s="10"/>
      <c r="AZ17" s="10"/>
      <c r="BA17" s="10"/>
      <c r="BB17" s="10"/>
      <c r="BC17" s="10"/>
      <c r="BD17" s="10"/>
      <c r="BE17" s="10"/>
      <c r="BF17" s="10"/>
      <c r="BG17" s="15"/>
      <c r="BH17" s="238"/>
      <c r="BI17" s="14"/>
      <c r="BJ17" s="10"/>
      <c r="BK17" s="10"/>
      <c r="BL17" s="10"/>
      <c r="BM17" s="10"/>
      <c r="BN17" s="10"/>
      <c r="BO17" s="10"/>
      <c r="BP17" s="10"/>
      <c r="BQ17" s="10"/>
      <c r="BR17" s="15"/>
      <c r="BS17" s="238"/>
      <c r="BT17" s="14"/>
      <c r="BU17" s="10"/>
      <c r="BV17" s="10"/>
      <c r="BW17" s="10"/>
      <c r="BX17" s="10"/>
      <c r="BY17" s="10"/>
      <c r="BZ17" s="10"/>
      <c r="CA17" s="10"/>
      <c r="CB17" s="14"/>
      <c r="CC17" s="10"/>
      <c r="CD17" s="10"/>
      <c r="CE17" s="10"/>
      <c r="CF17" s="10"/>
      <c r="CG17" s="10"/>
      <c r="CH17" s="10"/>
      <c r="CI17" s="238"/>
      <c r="CJ17" s="14"/>
      <c r="CK17" s="10"/>
      <c r="CL17" s="10"/>
      <c r="CM17" s="10"/>
      <c r="CN17" s="10"/>
      <c r="CO17" s="10"/>
      <c r="CP17" s="10"/>
      <c r="CQ17" s="10"/>
      <c r="CR17" s="14"/>
      <c r="CS17" s="10"/>
      <c r="CT17" s="10"/>
      <c r="CU17" s="10"/>
      <c r="CV17" s="10"/>
      <c r="CW17" s="10"/>
      <c r="CX17" s="10"/>
      <c r="CY17" s="238"/>
      <c r="CZ17" s="14"/>
      <c r="DA17" s="10"/>
      <c r="DB17" s="10"/>
      <c r="DC17" s="10"/>
      <c r="DD17" s="10"/>
      <c r="DE17" s="10"/>
      <c r="DF17" s="10"/>
      <c r="DG17" s="10"/>
      <c r="DH17" s="14"/>
      <c r="DI17" s="10"/>
      <c r="DJ17" s="10"/>
      <c r="DK17" s="10"/>
      <c r="DL17" s="10"/>
      <c r="DM17" s="10"/>
      <c r="DN17" s="10"/>
      <c r="DO17" s="238"/>
      <c r="DP17" s="14"/>
      <c r="DQ17" s="10"/>
      <c r="DR17" s="10"/>
      <c r="DS17" s="10"/>
      <c r="DT17" s="10"/>
      <c r="DU17" s="10"/>
      <c r="DV17" s="10"/>
      <c r="DW17" s="10"/>
      <c r="DX17" s="14"/>
      <c r="DY17" s="10"/>
      <c r="DZ17" s="10"/>
      <c r="EA17" s="10"/>
      <c r="EB17" s="10"/>
      <c r="EC17" s="10"/>
      <c r="ED17" s="10"/>
      <c r="EE17" s="238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238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238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238"/>
      <c r="FP17" s="14"/>
      <c r="FQ17" s="14"/>
      <c r="FR17" s="14"/>
      <c r="FS17" s="14"/>
      <c r="FT17" s="14"/>
      <c r="FU17" s="238"/>
      <c r="FV17" s="14"/>
      <c r="FW17" s="14"/>
      <c r="FX17" s="14"/>
      <c r="FY17" s="14"/>
      <c r="FZ17" s="14"/>
      <c r="GA17" s="120"/>
      <c r="GB17" s="122" t="str">
        <f t="shared" si="0"/>
        <v/>
      </c>
      <c r="GC17" s="140" t="str">
        <f t="shared" si="1"/>
        <v/>
      </c>
      <c r="GD17" s="122">
        <f t="shared" si="2"/>
        <v>0</v>
      </c>
      <c r="GE17" s="122">
        <f t="shared" si="3"/>
        <v>0</v>
      </c>
      <c r="GF17" s="122">
        <f t="shared" si="4"/>
        <v>0</v>
      </c>
      <c r="GG17" s="122">
        <f t="shared" si="5"/>
        <v>0</v>
      </c>
      <c r="GH17" s="122">
        <f t="shared" si="6"/>
        <v>0</v>
      </c>
      <c r="GI17" s="122">
        <f t="shared" si="7"/>
        <v>0</v>
      </c>
      <c r="GJ17" s="122">
        <f t="shared" si="8"/>
        <v>0</v>
      </c>
      <c r="GK17" s="122">
        <f t="shared" si="9"/>
        <v>0</v>
      </c>
      <c r="GL17" s="122">
        <f t="shared" si="10"/>
        <v>0</v>
      </c>
      <c r="GM17" s="122">
        <f t="shared" si="11"/>
        <v>0</v>
      </c>
      <c r="GN17" s="122">
        <f t="shared" si="12"/>
        <v>0</v>
      </c>
      <c r="GO17" s="122">
        <f t="shared" si="13"/>
        <v>0</v>
      </c>
      <c r="GP17" s="122">
        <f t="shared" si="14"/>
        <v>0</v>
      </c>
      <c r="GQ17" s="122">
        <f t="shared" si="15"/>
        <v>0</v>
      </c>
      <c r="GR17" s="122">
        <f t="shared" si="16"/>
        <v>0</v>
      </c>
      <c r="GS17" s="123">
        <f t="shared" si="17"/>
        <v>0</v>
      </c>
      <c r="GT17"/>
      <c r="GU17"/>
      <c r="GV17"/>
      <c r="GW17"/>
      <c r="GX17" s="118"/>
      <c r="GY17" s="118"/>
      <c r="GZ17" s="118"/>
      <c r="HA17" s="118"/>
      <c r="HB17" s="118"/>
      <c r="HC17" s="118"/>
      <c r="HD17" s="118"/>
      <c r="HE17" s="118"/>
      <c r="HF17" s="118"/>
      <c r="HG17" s="118"/>
      <c r="HH17" s="118"/>
      <c r="HI17" s="118"/>
      <c r="HJ17" s="118"/>
      <c r="HK17" s="118"/>
      <c r="HL17" s="118"/>
    </row>
    <row r="18" spans="1:220" s="74" customFormat="1" ht="30" hidden="1" customHeight="1" x14ac:dyDescent="0.35">
      <c r="A18" s="119">
        <v>9</v>
      </c>
      <c r="B18" s="3"/>
      <c r="C18" s="6"/>
      <c r="D18" s="3"/>
      <c r="E18" s="246"/>
      <c r="F18" s="8"/>
      <c r="G18" s="8"/>
      <c r="H18" s="8"/>
      <c r="I18" s="8"/>
      <c r="J18" s="8"/>
      <c r="K18" s="8"/>
      <c r="L18" s="8"/>
      <c r="M18" s="8"/>
      <c r="N18" s="8"/>
      <c r="O18" s="9"/>
      <c r="P18" s="238"/>
      <c r="Q18" s="12"/>
      <c r="R18" s="8"/>
      <c r="S18" s="8"/>
      <c r="T18" s="8"/>
      <c r="U18" s="8"/>
      <c r="V18" s="8"/>
      <c r="W18" s="8"/>
      <c r="X18" s="8"/>
      <c r="Y18" s="8"/>
      <c r="Z18" s="13"/>
      <c r="AA18" s="238"/>
      <c r="AB18" s="12"/>
      <c r="AC18" s="8"/>
      <c r="AD18" s="8"/>
      <c r="AE18" s="8"/>
      <c r="AF18" s="8"/>
      <c r="AG18" s="8"/>
      <c r="AH18" s="8"/>
      <c r="AI18" s="8"/>
      <c r="AJ18" s="8"/>
      <c r="AK18" s="13"/>
      <c r="AL18" s="238"/>
      <c r="AM18" s="12"/>
      <c r="AN18" s="8"/>
      <c r="AO18" s="8"/>
      <c r="AP18" s="8"/>
      <c r="AQ18" s="8"/>
      <c r="AR18" s="8"/>
      <c r="AS18" s="8"/>
      <c r="AT18" s="8"/>
      <c r="AU18" s="8"/>
      <c r="AV18" s="13"/>
      <c r="AW18" s="238"/>
      <c r="AX18" s="12"/>
      <c r="AY18" s="8"/>
      <c r="AZ18" s="8"/>
      <c r="BA18" s="8"/>
      <c r="BB18" s="8"/>
      <c r="BC18" s="8"/>
      <c r="BD18" s="8"/>
      <c r="BE18" s="8"/>
      <c r="BF18" s="8"/>
      <c r="BG18" s="13"/>
      <c r="BH18" s="238"/>
      <c r="BI18" s="12"/>
      <c r="BJ18" s="8"/>
      <c r="BK18" s="8"/>
      <c r="BL18" s="8"/>
      <c r="BM18" s="8"/>
      <c r="BN18" s="8"/>
      <c r="BO18" s="8"/>
      <c r="BP18" s="8"/>
      <c r="BQ18" s="8"/>
      <c r="BR18" s="13"/>
      <c r="BS18" s="238"/>
      <c r="BT18" s="12"/>
      <c r="BU18" s="8"/>
      <c r="BV18" s="8"/>
      <c r="BW18" s="8"/>
      <c r="BX18" s="8"/>
      <c r="BY18" s="8"/>
      <c r="BZ18" s="8"/>
      <c r="CA18" s="8"/>
      <c r="CB18" s="12"/>
      <c r="CC18" s="8"/>
      <c r="CD18" s="8"/>
      <c r="CE18" s="8"/>
      <c r="CF18" s="8"/>
      <c r="CG18" s="8"/>
      <c r="CH18" s="8"/>
      <c r="CI18" s="238"/>
      <c r="CJ18" s="12"/>
      <c r="CK18" s="8"/>
      <c r="CL18" s="8"/>
      <c r="CM18" s="8"/>
      <c r="CN18" s="8"/>
      <c r="CO18" s="8"/>
      <c r="CP18" s="8"/>
      <c r="CQ18" s="8"/>
      <c r="CR18" s="12"/>
      <c r="CS18" s="8"/>
      <c r="CT18" s="8"/>
      <c r="CU18" s="8"/>
      <c r="CV18" s="8"/>
      <c r="CW18" s="8"/>
      <c r="CX18" s="8"/>
      <c r="CY18" s="238"/>
      <c r="CZ18" s="12"/>
      <c r="DA18" s="8"/>
      <c r="DB18" s="8"/>
      <c r="DC18" s="8"/>
      <c r="DD18" s="8"/>
      <c r="DE18" s="8"/>
      <c r="DF18" s="8"/>
      <c r="DG18" s="8"/>
      <c r="DH18" s="12"/>
      <c r="DI18" s="8"/>
      <c r="DJ18" s="8"/>
      <c r="DK18" s="8"/>
      <c r="DL18" s="8"/>
      <c r="DM18" s="8"/>
      <c r="DN18" s="8"/>
      <c r="DO18" s="238"/>
      <c r="DP18" s="12"/>
      <c r="DQ18" s="8"/>
      <c r="DR18" s="8"/>
      <c r="DS18" s="8"/>
      <c r="DT18" s="8"/>
      <c r="DU18" s="8"/>
      <c r="DV18" s="8"/>
      <c r="DW18" s="8"/>
      <c r="DX18" s="12"/>
      <c r="DY18" s="8"/>
      <c r="DZ18" s="8"/>
      <c r="EA18" s="8"/>
      <c r="EB18" s="8"/>
      <c r="EC18" s="8"/>
      <c r="ED18" s="8"/>
      <c r="EE18" s="238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238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238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238"/>
      <c r="FP18" s="12"/>
      <c r="FQ18" s="12"/>
      <c r="FR18" s="12"/>
      <c r="FS18" s="12"/>
      <c r="FT18" s="12"/>
      <c r="FU18" s="238"/>
      <c r="FV18" s="12"/>
      <c r="FW18" s="12"/>
      <c r="FX18" s="12"/>
      <c r="FY18" s="12"/>
      <c r="FZ18" s="12"/>
      <c r="GA18" s="120"/>
      <c r="GB18" s="118" t="str">
        <f t="shared" si="0"/>
        <v/>
      </c>
      <c r="GC18" s="139" t="str">
        <f t="shared" si="1"/>
        <v/>
      </c>
      <c r="GD18" s="118">
        <f t="shared" si="2"/>
        <v>0</v>
      </c>
      <c r="GE18" s="118">
        <f t="shared" si="3"/>
        <v>0</v>
      </c>
      <c r="GF18" s="118">
        <f t="shared" si="4"/>
        <v>0</v>
      </c>
      <c r="GG18" s="118">
        <f t="shared" si="5"/>
        <v>0</v>
      </c>
      <c r="GH18" s="118">
        <f t="shared" si="6"/>
        <v>0</v>
      </c>
      <c r="GI18" s="118">
        <f t="shared" si="7"/>
        <v>0</v>
      </c>
      <c r="GJ18" s="118">
        <f t="shared" si="8"/>
        <v>0</v>
      </c>
      <c r="GK18" s="118">
        <f t="shared" si="9"/>
        <v>0</v>
      </c>
      <c r="GL18" s="118">
        <f t="shared" si="10"/>
        <v>0</v>
      </c>
      <c r="GM18" s="118">
        <f t="shared" si="11"/>
        <v>0</v>
      </c>
      <c r="GN18" s="118">
        <f t="shared" si="12"/>
        <v>0</v>
      </c>
      <c r="GO18" s="118">
        <f t="shared" si="13"/>
        <v>0</v>
      </c>
      <c r="GP18" s="118">
        <f t="shared" si="14"/>
        <v>0</v>
      </c>
      <c r="GQ18" s="118">
        <f t="shared" si="15"/>
        <v>0</v>
      </c>
      <c r="GR18" s="118">
        <f t="shared" si="16"/>
        <v>0</v>
      </c>
      <c r="GS18" s="121">
        <f t="shared" si="17"/>
        <v>0</v>
      </c>
      <c r="GT18"/>
      <c r="GU18"/>
      <c r="GV18"/>
      <c r="GW18"/>
      <c r="GX18" s="118"/>
      <c r="GY18" s="118"/>
      <c r="GZ18" s="118"/>
      <c r="HA18" s="118"/>
      <c r="HB18" s="118"/>
      <c r="HC18" s="118"/>
      <c r="HD18" s="118"/>
      <c r="HE18" s="118"/>
      <c r="HF18" s="118"/>
      <c r="HG18" s="118"/>
      <c r="HH18" s="118"/>
      <c r="HI18" s="118"/>
      <c r="HJ18" s="118"/>
      <c r="HK18" s="118"/>
      <c r="HL18" s="118"/>
    </row>
    <row r="19" spans="1:220" s="74" customFormat="1" ht="30" hidden="1" customHeight="1" x14ac:dyDescent="0.35">
      <c r="A19" s="119">
        <v>10</v>
      </c>
      <c r="B19" s="4"/>
      <c r="C19" s="7"/>
      <c r="D19" s="4"/>
      <c r="E19" s="246"/>
      <c r="F19" s="10"/>
      <c r="G19" s="10"/>
      <c r="H19" s="10"/>
      <c r="I19" s="10"/>
      <c r="J19" s="10"/>
      <c r="K19" s="10"/>
      <c r="L19" s="10"/>
      <c r="M19" s="10"/>
      <c r="N19" s="10"/>
      <c r="O19" s="11"/>
      <c r="P19" s="238"/>
      <c r="Q19" s="14"/>
      <c r="R19" s="10"/>
      <c r="S19" s="10"/>
      <c r="T19" s="10"/>
      <c r="U19" s="10"/>
      <c r="V19" s="10"/>
      <c r="W19" s="10"/>
      <c r="X19" s="10"/>
      <c r="Y19" s="10"/>
      <c r="Z19" s="15"/>
      <c r="AA19" s="238"/>
      <c r="AB19" s="14"/>
      <c r="AC19" s="10"/>
      <c r="AD19" s="10"/>
      <c r="AE19" s="10"/>
      <c r="AF19" s="10"/>
      <c r="AG19" s="10"/>
      <c r="AH19" s="10"/>
      <c r="AI19" s="10"/>
      <c r="AJ19" s="10"/>
      <c r="AK19" s="15"/>
      <c r="AL19" s="238"/>
      <c r="AM19" s="14"/>
      <c r="AN19" s="10"/>
      <c r="AO19" s="10"/>
      <c r="AP19" s="10"/>
      <c r="AQ19" s="10"/>
      <c r="AR19" s="10"/>
      <c r="AS19" s="10"/>
      <c r="AT19" s="10"/>
      <c r="AU19" s="10"/>
      <c r="AV19" s="15"/>
      <c r="AW19" s="238"/>
      <c r="AX19" s="14"/>
      <c r="AY19" s="10"/>
      <c r="AZ19" s="10"/>
      <c r="BA19" s="10"/>
      <c r="BB19" s="10"/>
      <c r="BC19" s="10"/>
      <c r="BD19" s="10"/>
      <c r="BE19" s="10"/>
      <c r="BF19" s="10"/>
      <c r="BG19" s="15"/>
      <c r="BH19" s="238"/>
      <c r="BI19" s="14"/>
      <c r="BJ19" s="10"/>
      <c r="BK19" s="10"/>
      <c r="BL19" s="10"/>
      <c r="BM19" s="10"/>
      <c r="BN19" s="10"/>
      <c r="BO19" s="10"/>
      <c r="BP19" s="10"/>
      <c r="BQ19" s="10"/>
      <c r="BR19" s="15"/>
      <c r="BS19" s="238"/>
      <c r="BT19" s="14"/>
      <c r="BU19" s="10"/>
      <c r="BV19" s="10"/>
      <c r="BW19" s="10"/>
      <c r="BX19" s="10"/>
      <c r="BY19" s="10"/>
      <c r="BZ19" s="10"/>
      <c r="CA19" s="10"/>
      <c r="CB19" s="14"/>
      <c r="CC19" s="10"/>
      <c r="CD19" s="10"/>
      <c r="CE19" s="10"/>
      <c r="CF19" s="10"/>
      <c r="CG19" s="10"/>
      <c r="CH19" s="10"/>
      <c r="CI19" s="238"/>
      <c r="CJ19" s="14"/>
      <c r="CK19" s="10"/>
      <c r="CL19" s="10"/>
      <c r="CM19" s="10"/>
      <c r="CN19" s="10"/>
      <c r="CO19" s="10"/>
      <c r="CP19" s="10"/>
      <c r="CQ19" s="10"/>
      <c r="CR19" s="14"/>
      <c r="CS19" s="10"/>
      <c r="CT19" s="10"/>
      <c r="CU19" s="10"/>
      <c r="CV19" s="10"/>
      <c r="CW19" s="10"/>
      <c r="CX19" s="10"/>
      <c r="CY19" s="238"/>
      <c r="CZ19" s="14"/>
      <c r="DA19" s="10"/>
      <c r="DB19" s="10"/>
      <c r="DC19" s="10"/>
      <c r="DD19" s="10"/>
      <c r="DE19" s="10"/>
      <c r="DF19" s="10"/>
      <c r="DG19" s="10"/>
      <c r="DH19" s="14"/>
      <c r="DI19" s="10"/>
      <c r="DJ19" s="10"/>
      <c r="DK19" s="10"/>
      <c r="DL19" s="10"/>
      <c r="DM19" s="10"/>
      <c r="DN19" s="10"/>
      <c r="DO19" s="238"/>
      <c r="DP19" s="14"/>
      <c r="DQ19" s="10"/>
      <c r="DR19" s="10"/>
      <c r="DS19" s="10"/>
      <c r="DT19" s="10"/>
      <c r="DU19" s="10"/>
      <c r="DV19" s="10"/>
      <c r="DW19" s="10"/>
      <c r="DX19" s="14"/>
      <c r="DY19" s="10"/>
      <c r="DZ19" s="10"/>
      <c r="EA19" s="10"/>
      <c r="EB19" s="10"/>
      <c r="EC19" s="10"/>
      <c r="ED19" s="10"/>
      <c r="EE19" s="238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238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238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238"/>
      <c r="FP19" s="14"/>
      <c r="FQ19" s="14"/>
      <c r="FR19" s="14"/>
      <c r="FS19" s="14"/>
      <c r="FT19" s="14"/>
      <c r="FU19" s="238"/>
      <c r="FV19" s="14"/>
      <c r="FW19" s="14"/>
      <c r="FX19" s="14"/>
      <c r="FY19" s="14"/>
      <c r="FZ19" s="14"/>
      <c r="GA19" s="120"/>
      <c r="GB19" s="122" t="str">
        <f t="shared" si="0"/>
        <v/>
      </c>
      <c r="GC19" s="140" t="str">
        <f t="shared" si="1"/>
        <v/>
      </c>
      <c r="GD19" s="122">
        <f t="shared" si="2"/>
        <v>0</v>
      </c>
      <c r="GE19" s="122">
        <f t="shared" si="3"/>
        <v>0</v>
      </c>
      <c r="GF19" s="122">
        <f t="shared" si="4"/>
        <v>0</v>
      </c>
      <c r="GG19" s="122">
        <f t="shared" si="5"/>
        <v>0</v>
      </c>
      <c r="GH19" s="122">
        <f t="shared" si="6"/>
        <v>0</v>
      </c>
      <c r="GI19" s="122">
        <f t="shared" si="7"/>
        <v>0</v>
      </c>
      <c r="GJ19" s="122">
        <f t="shared" si="8"/>
        <v>0</v>
      </c>
      <c r="GK19" s="122">
        <f t="shared" si="9"/>
        <v>0</v>
      </c>
      <c r="GL19" s="122">
        <f t="shared" si="10"/>
        <v>0</v>
      </c>
      <c r="GM19" s="122">
        <f t="shared" si="11"/>
        <v>0</v>
      </c>
      <c r="GN19" s="122">
        <f t="shared" si="12"/>
        <v>0</v>
      </c>
      <c r="GO19" s="122">
        <f t="shared" si="13"/>
        <v>0</v>
      </c>
      <c r="GP19" s="122">
        <f t="shared" si="14"/>
        <v>0</v>
      </c>
      <c r="GQ19" s="122">
        <f t="shared" si="15"/>
        <v>0</v>
      </c>
      <c r="GR19" s="122">
        <f t="shared" si="16"/>
        <v>0</v>
      </c>
      <c r="GS19" s="123">
        <f t="shared" si="17"/>
        <v>0</v>
      </c>
      <c r="GT19"/>
      <c r="GU19"/>
      <c r="GV19"/>
      <c r="GW19"/>
      <c r="GX19" s="118"/>
      <c r="GY19" s="118"/>
      <c r="GZ19" s="118"/>
      <c r="HA19" s="118"/>
      <c r="HB19" s="118"/>
      <c r="HC19" s="118"/>
      <c r="HD19" s="118"/>
      <c r="HE19" s="118"/>
      <c r="HF19" s="118"/>
      <c r="HG19" s="118"/>
      <c r="HH19" s="118"/>
      <c r="HI19" s="118"/>
      <c r="HJ19" s="118"/>
      <c r="HK19" s="118"/>
      <c r="HL19" s="118"/>
    </row>
    <row r="20" spans="1:220" s="74" customFormat="1" ht="30" hidden="1" customHeight="1" x14ac:dyDescent="0.35">
      <c r="A20" s="119">
        <v>11</v>
      </c>
      <c r="B20" s="3"/>
      <c r="C20" s="6"/>
      <c r="D20" s="3"/>
      <c r="E20" s="246"/>
      <c r="F20" s="8"/>
      <c r="G20" s="8"/>
      <c r="H20" s="8"/>
      <c r="I20" s="8"/>
      <c r="J20" s="8"/>
      <c r="K20" s="8"/>
      <c r="L20" s="8"/>
      <c r="M20" s="8"/>
      <c r="N20" s="8"/>
      <c r="O20" s="9"/>
      <c r="P20" s="238"/>
      <c r="Q20" s="12"/>
      <c r="R20" s="8"/>
      <c r="S20" s="8"/>
      <c r="T20" s="8"/>
      <c r="U20" s="8"/>
      <c r="V20" s="8"/>
      <c r="W20" s="8"/>
      <c r="X20" s="8"/>
      <c r="Y20" s="8"/>
      <c r="Z20" s="13"/>
      <c r="AA20" s="238"/>
      <c r="AB20" s="12"/>
      <c r="AC20" s="8"/>
      <c r="AD20" s="8"/>
      <c r="AE20" s="8"/>
      <c r="AF20" s="8"/>
      <c r="AG20" s="8"/>
      <c r="AH20" s="8"/>
      <c r="AI20" s="8"/>
      <c r="AJ20" s="8"/>
      <c r="AK20" s="13"/>
      <c r="AL20" s="238"/>
      <c r="AM20" s="12"/>
      <c r="AN20" s="8"/>
      <c r="AO20" s="8"/>
      <c r="AP20" s="8"/>
      <c r="AQ20" s="8"/>
      <c r="AR20" s="8"/>
      <c r="AS20" s="8"/>
      <c r="AT20" s="8"/>
      <c r="AU20" s="8"/>
      <c r="AV20" s="13"/>
      <c r="AW20" s="238"/>
      <c r="AX20" s="12"/>
      <c r="AY20" s="8"/>
      <c r="AZ20" s="8"/>
      <c r="BA20" s="8"/>
      <c r="BB20" s="8"/>
      <c r="BC20" s="8"/>
      <c r="BD20" s="8"/>
      <c r="BE20" s="8"/>
      <c r="BF20" s="8"/>
      <c r="BG20" s="13"/>
      <c r="BH20" s="238"/>
      <c r="BI20" s="12"/>
      <c r="BJ20" s="8"/>
      <c r="BK20" s="8"/>
      <c r="BL20" s="8"/>
      <c r="BM20" s="8"/>
      <c r="BN20" s="8"/>
      <c r="BO20" s="8"/>
      <c r="BP20" s="8"/>
      <c r="BQ20" s="8"/>
      <c r="BR20" s="13"/>
      <c r="BS20" s="238"/>
      <c r="BT20" s="12"/>
      <c r="BU20" s="8"/>
      <c r="BV20" s="8"/>
      <c r="BW20" s="8"/>
      <c r="BX20" s="8"/>
      <c r="BY20" s="8"/>
      <c r="BZ20" s="8"/>
      <c r="CA20" s="8"/>
      <c r="CB20" s="12"/>
      <c r="CC20" s="8"/>
      <c r="CD20" s="8"/>
      <c r="CE20" s="8"/>
      <c r="CF20" s="8"/>
      <c r="CG20" s="8"/>
      <c r="CH20" s="8"/>
      <c r="CI20" s="238"/>
      <c r="CJ20" s="12"/>
      <c r="CK20" s="8"/>
      <c r="CL20" s="8"/>
      <c r="CM20" s="8"/>
      <c r="CN20" s="8"/>
      <c r="CO20" s="8"/>
      <c r="CP20" s="8"/>
      <c r="CQ20" s="8"/>
      <c r="CR20" s="12"/>
      <c r="CS20" s="8"/>
      <c r="CT20" s="8"/>
      <c r="CU20" s="8"/>
      <c r="CV20" s="8"/>
      <c r="CW20" s="8"/>
      <c r="CX20" s="8"/>
      <c r="CY20" s="238"/>
      <c r="CZ20" s="12"/>
      <c r="DA20" s="8"/>
      <c r="DB20" s="8"/>
      <c r="DC20" s="8"/>
      <c r="DD20" s="8"/>
      <c r="DE20" s="8"/>
      <c r="DF20" s="8"/>
      <c r="DG20" s="8"/>
      <c r="DH20" s="12"/>
      <c r="DI20" s="8"/>
      <c r="DJ20" s="8"/>
      <c r="DK20" s="8"/>
      <c r="DL20" s="8"/>
      <c r="DM20" s="8"/>
      <c r="DN20" s="8"/>
      <c r="DO20" s="238"/>
      <c r="DP20" s="12"/>
      <c r="DQ20" s="8"/>
      <c r="DR20" s="8"/>
      <c r="DS20" s="8"/>
      <c r="DT20" s="8"/>
      <c r="DU20" s="8"/>
      <c r="DV20" s="8"/>
      <c r="DW20" s="8"/>
      <c r="DX20" s="12"/>
      <c r="DY20" s="8"/>
      <c r="DZ20" s="8"/>
      <c r="EA20" s="8"/>
      <c r="EB20" s="8"/>
      <c r="EC20" s="8"/>
      <c r="ED20" s="8"/>
      <c r="EE20" s="238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238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238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238"/>
      <c r="FP20" s="12"/>
      <c r="FQ20" s="12"/>
      <c r="FR20" s="12"/>
      <c r="FS20" s="12"/>
      <c r="FT20" s="12"/>
      <c r="FU20" s="238"/>
      <c r="FV20" s="12"/>
      <c r="FW20" s="12"/>
      <c r="FX20" s="12"/>
      <c r="FY20" s="12"/>
      <c r="FZ20" s="12"/>
      <c r="GA20" s="120"/>
      <c r="GB20" s="118" t="str">
        <f t="shared" si="0"/>
        <v/>
      </c>
      <c r="GC20" s="139" t="str">
        <f t="shared" si="1"/>
        <v/>
      </c>
      <c r="GD20" s="118">
        <f t="shared" si="2"/>
        <v>0</v>
      </c>
      <c r="GE20" s="118">
        <f t="shared" si="3"/>
        <v>0</v>
      </c>
      <c r="GF20" s="118">
        <f t="shared" si="4"/>
        <v>0</v>
      </c>
      <c r="GG20" s="118">
        <f t="shared" si="5"/>
        <v>0</v>
      </c>
      <c r="GH20" s="118">
        <f t="shared" si="6"/>
        <v>0</v>
      </c>
      <c r="GI20" s="118">
        <f t="shared" si="7"/>
        <v>0</v>
      </c>
      <c r="GJ20" s="118">
        <f t="shared" si="8"/>
        <v>0</v>
      </c>
      <c r="GK20" s="118">
        <f t="shared" si="9"/>
        <v>0</v>
      </c>
      <c r="GL20" s="118">
        <f t="shared" si="10"/>
        <v>0</v>
      </c>
      <c r="GM20" s="118">
        <f t="shared" si="11"/>
        <v>0</v>
      </c>
      <c r="GN20" s="118">
        <f t="shared" si="12"/>
        <v>0</v>
      </c>
      <c r="GO20" s="118">
        <f t="shared" si="13"/>
        <v>0</v>
      </c>
      <c r="GP20" s="118">
        <f t="shared" si="14"/>
        <v>0</v>
      </c>
      <c r="GQ20" s="118">
        <f t="shared" si="15"/>
        <v>0</v>
      </c>
      <c r="GR20" s="118">
        <f t="shared" si="16"/>
        <v>0</v>
      </c>
      <c r="GS20" s="121">
        <f t="shared" si="17"/>
        <v>0</v>
      </c>
      <c r="GT20"/>
      <c r="GU20"/>
      <c r="GV20"/>
      <c r="GW20"/>
      <c r="GX20" s="118"/>
      <c r="GY20" s="118"/>
      <c r="GZ20" s="118"/>
      <c r="HA20" s="118"/>
      <c r="HB20" s="118"/>
      <c r="HC20" s="118"/>
      <c r="HD20" s="118"/>
      <c r="HE20" s="118"/>
      <c r="HF20" s="118"/>
      <c r="HG20" s="118"/>
      <c r="HH20" s="118"/>
      <c r="HI20" s="118"/>
      <c r="HJ20" s="118"/>
      <c r="HK20" s="118"/>
      <c r="HL20" s="118"/>
    </row>
    <row r="21" spans="1:220" s="74" customFormat="1" ht="30" hidden="1" customHeight="1" x14ac:dyDescent="0.35">
      <c r="A21" s="119">
        <v>12</v>
      </c>
      <c r="B21" s="4"/>
      <c r="C21" s="7"/>
      <c r="D21" s="4"/>
      <c r="E21" s="246"/>
      <c r="F21" s="10"/>
      <c r="G21" s="10"/>
      <c r="H21" s="10"/>
      <c r="I21" s="10"/>
      <c r="J21" s="10"/>
      <c r="K21" s="10"/>
      <c r="L21" s="10"/>
      <c r="M21" s="10"/>
      <c r="N21" s="10"/>
      <c r="O21" s="11"/>
      <c r="P21" s="238"/>
      <c r="Q21" s="14"/>
      <c r="R21" s="10"/>
      <c r="S21" s="10"/>
      <c r="T21" s="10"/>
      <c r="U21" s="10"/>
      <c r="V21" s="10"/>
      <c r="W21" s="10"/>
      <c r="X21" s="10"/>
      <c r="Y21" s="10"/>
      <c r="Z21" s="15"/>
      <c r="AA21" s="238"/>
      <c r="AB21" s="14"/>
      <c r="AC21" s="10"/>
      <c r="AD21" s="10"/>
      <c r="AE21" s="10"/>
      <c r="AF21" s="10"/>
      <c r="AG21" s="10"/>
      <c r="AH21" s="10"/>
      <c r="AI21" s="10"/>
      <c r="AJ21" s="10"/>
      <c r="AK21" s="15"/>
      <c r="AL21" s="238"/>
      <c r="AM21" s="14"/>
      <c r="AN21" s="10"/>
      <c r="AO21" s="10"/>
      <c r="AP21" s="10"/>
      <c r="AQ21" s="10"/>
      <c r="AR21" s="10"/>
      <c r="AS21" s="10"/>
      <c r="AT21" s="10"/>
      <c r="AU21" s="10"/>
      <c r="AV21" s="15"/>
      <c r="AW21" s="238"/>
      <c r="AX21" s="14"/>
      <c r="AY21" s="10"/>
      <c r="AZ21" s="10"/>
      <c r="BA21" s="10"/>
      <c r="BB21" s="10"/>
      <c r="BC21" s="10"/>
      <c r="BD21" s="10"/>
      <c r="BE21" s="10"/>
      <c r="BF21" s="10"/>
      <c r="BG21" s="15"/>
      <c r="BH21" s="238"/>
      <c r="BI21" s="14"/>
      <c r="BJ21" s="10"/>
      <c r="BK21" s="10"/>
      <c r="BL21" s="10"/>
      <c r="BM21" s="10"/>
      <c r="BN21" s="10"/>
      <c r="BO21" s="10"/>
      <c r="BP21" s="10"/>
      <c r="BQ21" s="10"/>
      <c r="BR21" s="15"/>
      <c r="BS21" s="238"/>
      <c r="BT21" s="14"/>
      <c r="BU21" s="10"/>
      <c r="BV21" s="10"/>
      <c r="BW21" s="10"/>
      <c r="BX21" s="10"/>
      <c r="BY21" s="10"/>
      <c r="BZ21" s="10"/>
      <c r="CA21" s="10"/>
      <c r="CB21" s="14"/>
      <c r="CC21" s="10"/>
      <c r="CD21" s="10"/>
      <c r="CE21" s="10"/>
      <c r="CF21" s="10"/>
      <c r="CG21" s="10"/>
      <c r="CH21" s="10"/>
      <c r="CI21" s="238"/>
      <c r="CJ21" s="14"/>
      <c r="CK21" s="10"/>
      <c r="CL21" s="10"/>
      <c r="CM21" s="10"/>
      <c r="CN21" s="10"/>
      <c r="CO21" s="10"/>
      <c r="CP21" s="10"/>
      <c r="CQ21" s="10"/>
      <c r="CR21" s="14"/>
      <c r="CS21" s="10"/>
      <c r="CT21" s="10"/>
      <c r="CU21" s="10"/>
      <c r="CV21" s="10"/>
      <c r="CW21" s="10"/>
      <c r="CX21" s="10"/>
      <c r="CY21" s="238"/>
      <c r="CZ21" s="14"/>
      <c r="DA21" s="10"/>
      <c r="DB21" s="10"/>
      <c r="DC21" s="10"/>
      <c r="DD21" s="10"/>
      <c r="DE21" s="10"/>
      <c r="DF21" s="10"/>
      <c r="DG21" s="10"/>
      <c r="DH21" s="14"/>
      <c r="DI21" s="10"/>
      <c r="DJ21" s="10"/>
      <c r="DK21" s="10"/>
      <c r="DL21" s="10"/>
      <c r="DM21" s="10"/>
      <c r="DN21" s="10"/>
      <c r="DO21" s="238"/>
      <c r="DP21" s="14"/>
      <c r="DQ21" s="10"/>
      <c r="DR21" s="10"/>
      <c r="DS21" s="10"/>
      <c r="DT21" s="10"/>
      <c r="DU21" s="10"/>
      <c r="DV21" s="10"/>
      <c r="DW21" s="10"/>
      <c r="DX21" s="14"/>
      <c r="DY21" s="10"/>
      <c r="DZ21" s="10"/>
      <c r="EA21" s="10"/>
      <c r="EB21" s="10"/>
      <c r="EC21" s="10"/>
      <c r="ED21" s="10"/>
      <c r="EE21" s="238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238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238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238"/>
      <c r="FP21" s="14"/>
      <c r="FQ21" s="14"/>
      <c r="FR21" s="14"/>
      <c r="FS21" s="14"/>
      <c r="FT21" s="14"/>
      <c r="FU21" s="238"/>
      <c r="FV21" s="14"/>
      <c r="FW21" s="14"/>
      <c r="FX21" s="14"/>
      <c r="FY21" s="14"/>
      <c r="FZ21" s="14"/>
      <c r="GA21" s="120"/>
      <c r="GB21" s="122" t="str">
        <f t="shared" si="0"/>
        <v/>
      </c>
      <c r="GC21" s="140" t="str">
        <f t="shared" si="1"/>
        <v/>
      </c>
      <c r="GD21" s="122">
        <f t="shared" si="2"/>
        <v>0</v>
      </c>
      <c r="GE21" s="122">
        <f t="shared" si="3"/>
        <v>0</v>
      </c>
      <c r="GF21" s="122">
        <f t="shared" si="4"/>
        <v>0</v>
      </c>
      <c r="GG21" s="122">
        <f t="shared" si="5"/>
        <v>0</v>
      </c>
      <c r="GH21" s="122">
        <f t="shared" si="6"/>
        <v>0</v>
      </c>
      <c r="GI21" s="122">
        <f t="shared" si="7"/>
        <v>0</v>
      </c>
      <c r="GJ21" s="122">
        <f t="shared" si="8"/>
        <v>0</v>
      </c>
      <c r="GK21" s="122">
        <f t="shared" si="9"/>
        <v>0</v>
      </c>
      <c r="GL21" s="122">
        <f t="shared" si="10"/>
        <v>0</v>
      </c>
      <c r="GM21" s="122">
        <f t="shared" si="11"/>
        <v>0</v>
      </c>
      <c r="GN21" s="122">
        <f t="shared" si="12"/>
        <v>0</v>
      </c>
      <c r="GO21" s="122">
        <f t="shared" si="13"/>
        <v>0</v>
      </c>
      <c r="GP21" s="122">
        <f t="shared" si="14"/>
        <v>0</v>
      </c>
      <c r="GQ21" s="122">
        <f t="shared" si="15"/>
        <v>0</v>
      </c>
      <c r="GR21" s="122">
        <f t="shared" si="16"/>
        <v>0</v>
      </c>
      <c r="GS21" s="123">
        <f t="shared" si="17"/>
        <v>0</v>
      </c>
      <c r="GT21"/>
      <c r="GU21"/>
      <c r="GV21"/>
      <c r="GW21"/>
      <c r="GX21" s="118"/>
      <c r="GY21" s="118"/>
      <c r="GZ21" s="118"/>
      <c r="HA21" s="118"/>
      <c r="HB21" s="118"/>
      <c r="HC21" s="118"/>
      <c r="HD21" s="118"/>
      <c r="HE21" s="118"/>
      <c r="HF21" s="118"/>
      <c r="HG21" s="118"/>
      <c r="HH21" s="118"/>
      <c r="HI21" s="118"/>
      <c r="HJ21" s="118"/>
      <c r="HK21" s="118"/>
      <c r="HL21" s="118"/>
    </row>
    <row r="22" spans="1:220" s="74" customFormat="1" ht="30" hidden="1" customHeight="1" x14ac:dyDescent="0.35">
      <c r="A22" s="119">
        <v>13</v>
      </c>
      <c r="B22" s="3"/>
      <c r="C22" s="6"/>
      <c r="D22" s="3"/>
      <c r="E22" s="246"/>
      <c r="F22" s="8"/>
      <c r="G22" s="8"/>
      <c r="H22" s="8"/>
      <c r="I22" s="8"/>
      <c r="J22" s="8"/>
      <c r="K22" s="8"/>
      <c r="L22" s="8"/>
      <c r="M22" s="8"/>
      <c r="N22" s="8"/>
      <c r="O22" s="9"/>
      <c r="P22" s="238"/>
      <c r="Q22" s="12"/>
      <c r="R22" s="8"/>
      <c r="S22" s="8"/>
      <c r="T22" s="8"/>
      <c r="U22" s="8"/>
      <c r="V22" s="8"/>
      <c r="W22" s="8"/>
      <c r="X22" s="8"/>
      <c r="Y22" s="8"/>
      <c r="Z22" s="13"/>
      <c r="AA22" s="238"/>
      <c r="AB22" s="12"/>
      <c r="AC22" s="8"/>
      <c r="AD22" s="8"/>
      <c r="AE22" s="8"/>
      <c r="AF22" s="8"/>
      <c r="AG22" s="8"/>
      <c r="AH22" s="8"/>
      <c r="AI22" s="8"/>
      <c r="AJ22" s="8"/>
      <c r="AK22" s="13"/>
      <c r="AL22" s="238"/>
      <c r="AM22" s="12"/>
      <c r="AN22" s="8"/>
      <c r="AO22" s="8"/>
      <c r="AP22" s="8"/>
      <c r="AQ22" s="8"/>
      <c r="AR22" s="8"/>
      <c r="AS22" s="8"/>
      <c r="AT22" s="8"/>
      <c r="AU22" s="8"/>
      <c r="AV22" s="13"/>
      <c r="AW22" s="238"/>
      <c r="AX22" s="12"/>
      <c r="AY22" s="8"/>
      <c r="AZ22" s="8"/>
      <c r="BA22" s="8"/>
      <c r="BB22" s="8"/>
      <c r="BC22" s="8"/>
      <c r="BD22" s="8"/>
      <c r="BE22" s="8"/>
      <c r="BF22" s="8"/>
      <c r="BG22" s="13"/>
      <c r="BH22" s="238"/>
      <c r="BI22" s="12"/>
      <c r="BJ22" s="8"/>
      <c r="BK22" s="8"/>
      <c r="BL22" s="8"/>
      <c r="BM22" s="8"/>
      <c r="BN22" s="8"/>
      <c r="BO22" s="8"/>
      <c r="BP22" s="8"/>
      <c r="BQ22" s="8"/>
      <c r="BR22" s="13"/>
      <c r="BS22" s="238"/>
      <c r="BT22" s="12"/>
      <c r="BU22" s="8"/>
      <c r="BV22" s="8"/>
      <c r="BW22" s="8"/>
      <c r="BX22" s="8"/>
      <c r="BY22" s="8"/>
      <c r="BZ22" s="8"/>
      <c r="CA22" s="8"/>
      <c r="CB22" s="12"/>
      <c r="CC22" s="8"/>
      <c r="CD22" s="8"/>
      <c r="CE22" s="8"/>
      <c r="CF22" s="8"/>
      <c r="CG22" s="8"/>
      <c r="CH22" s="8"/>
      <c r="CI22" s="238"/>
      <c r="CJ22" s="12"/>
      <c r="CK22" s="8"/>
      <c r="CL22" s="8"/>
      <c r="CM22" s="8"/>
      <c r="CN22" s="8"/>
      <c r="CO22" s="8"/>
      <c r="CP22" s="8"/>
      <c r="CQ22" s="8"/>
      <c r="CR22" s="12"/>
      <c r="CS22" s="8"/>
      <c r="CT22" s="8"/>
      <c r="CU22" s="8"/>
      <c r="CV22" s="8"/>
      <c r="CW22" s="8"/>
      <c r="CX22" s="8"/>
      <c r="CY22" s="238"/>
      <c r="CZ22" s="12"/>
      <c r="DA22" s="8"/>
      <c r="DB22" s="8"/>
      <c r="DC22" s="8"/>
      <c r="DD22" s="8"/>
      <c r="DE22" s="8"/>
      <c r="DF22" s="8"/>
      <c r="DG22" s="8"/>
      <c r="DH22" s="12"/>
      <c r="DI22" s="8"/>
      <c r="DJ22" s="8"/>
      <c r="DK22" s="8"/>
      <c r="DL22" s="8"/>
      <c r="DM22" s="8"/>
      <c r="DN22" s="8"/>
      <c r="DO22" s="238"/>
      <c r="DP22" s="12"/>
      <c r="DQ22" s="8"/>
      <c r="DR22" s="8"/>
      <c r="DS22" s="8"/>
      <c r="DT22" s="8"/>
      <c r="DU22" s="8"/>
      <c r="DV22" s="8"/>
      <c r="DW22" s="8"/>
      <c r="DX22" s="12"/>
      <c r="DY22" s="8"/>
      <c r="DZ22" s="8"/>
      <c r="EA22" s="8"/>
      <c r="EB22" s="8"/>
      <c r="EC22" s="8"/>
      <c r="ED22" s="8"/>
      <c r="EE22" s="238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238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238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238"/>
      <c r="FP22" s="12"/>
      <c r="FQ22" s="12"/>
      <c r="FR22" s="12"/>
      <c r="FS22" s="12"/>
      <c r="FT22" s="12"/>
      <c r="FU22" s="238"/>
      <c r="FV22" s="12"/>
      <c r="FW22" s="12"/>
      <c r="FX22" s="12"/>
      <c r="FY22" s="12"/>
      <c r="FZ22" s="12"/>
      <c r="GA22" s="120"/>
      <c r="GB22" s="118" t="str">
        <f t="shared" si="0"/>
        <v/>
      </c>
      <c r="GC22" s="139" t="str">
        <f t="shared" si="1"/>
        <v/>
      </c>
      <c r="GD22" s="118">
        <f t="shared" si="2"/>
        <v>0</v>
      </c>
      <c r="GE22" s="118">
        <f t="shared" si="3"/>
        <v>0</v>
      </c>
      <c r="GF22" s="118">
        <f t="shared" si="4"/>
        <v>0</v>
      </c>
      <c r="GG22" s="118">
        <f t="shared" si="5"/>
        <v>0</v>
      </c>
      <c r="GH22" s="118">
        <f t="shared" si="6"/>
        <v>0</v>
      </c>
      <c r="GI22" s="118">
        <f t="shared" si="7"/>
        <v>0</v>
      </c>
      <c r="GJ22" s="118">
        <f t="shared" si="8"/>
        <v>0</v>
      </c>
      <c r="GK22" s="118">
        <f t="shared" si="9"/>
        <v>0</v>
      </c>
      <c r="GL22" s="118">
        <f t="shared" si="10"/>
        <v>0</v>
      </c>
      <c r="GM22" s="118">
        <f t="shared" si="11"/>
        <v>0</v>
      </c>
      <c r="GN22" s="118">
        <f t="shared" si="12"/>
        <v>0</v>
      </c>
      <c r="GO22" s="118">
        <f t="shared" si="13"/>
        <v>0</v>
      </c>
      <c r="GP22" s="118">
        <f t="shared" si="14"/>
        <v>0</v>
      </c>
      <c r="GQ22" s="118">
        <f t="shared" si="15"/>
        <v>0</v>
      </c>
      <c r="GR22" s="118">
        <f t="shared" si="16"/>
        <v>0</v>
      </c>
      <c r="GS22" s="121">
        <f t="shared" si="17"/>
        <v>0</v>
      </c>
      <c r="GT22"/>
      <c r="GU22"/>
      <c r="GV22"/>
      <c r="GW22"/>
      <c r="GX22" s="118"/>
      <c r="GY22" s="118"/>
      <c r="GZ22" s="118"/>
      <c r="HA22" s="118"/>
      <c r="HB22" s="118"/>
      <c r="HC22" s="118"/>
      <c r="HD22" s="118"/>
      <c r="HE22" s="118"/>
      <c r="HF22" s="118"/>
      <c r="HG22" s="118"/>
      <c r="HH22" s="118"/>
      <c r="HI22" s="118"/>
      <c r="HJ22" s="118"/>
      <c r="HK22" s="118"/>
      <c r="HL22" s="118"/>
    </row>
    <row r="23" spans="1:220" s="74" customFormat="1" ht="30" hidden="1" customHeight="1" x14ac:dyDescent="0.35">
      <c r="A23" s="119">
        <v>14</v>
      </c>
      <c r="B23" s="4"/>
      <c r="C23" s="7"/>
      <c r="D23" s="4"/>
      <c r="E23" s="246"/>
      <c r="F23" s="10"/>
      <c r="G23" s="10"/>
      <c r="H23" s="10"/>
      <c r="I23" s="10"/>
      <c r="J23" s="10"/>
      <c r="K23" s="10"/>
      <c r="L23" s="10"/>
      <c r="M23" s="10"/>
      <c r="N23" s="10"/>
      <c r="O23" s="11"/>
      <c r="P23" s="238"/>
      <c r="Q23" s="14"/>
      <c r="R23" s="10"/>
      <c r="S23" s="10"/>
      <c r="T23" s="10"/>
      <c r="U23" s="10"/>
      <c r="V23" s="10"/>
      <c r="W23" s="10"/>
      <c r="X23" s="10"/>
      <c r="Y23" s="10"/>
      <c r="Z23" s="15"/>
      <c r="AA23" s="238"/>
      <c r="AB23" s="14"/>
      <c r="AC23" s="10"/>
      <c r="AD23" s="10"/>
      <c r="AE23" s="10"/>
      <c r="AF23" s="10"/>
      <c r="AG23" s="10"/>
      <c r="AH23" s="10"/>
      <c r="AI23" s="10"/>
      <c r="AJ23" s="10"/>
      <c r="AK23" s="15"/>
      <c r="AL23" s="238"/>
      <c r="AM23" s="14"/>
      <c r="AN23" s="10"/>
      <c r="AO23" s="10"/>
      <c r="AP23" s="10"/>
      <c r="AQ23" s="10"/>
      <c r="AR23" s="10"/>
      <c r="AS23" s="10"/>
      <c r="AT23" s="10"/>
      <c r="AU23" s="10"/>
      <c r="AV23" s="15"/>
      <c r="AW23" s="238"/>
      <c r="AX23" s="14"/>
      <c r="AY23" s="10"/>
      <c r="AZ23" s="10"/>
      <c r="BA23" s="10"/>
      <c r="BB23" s="10"/>
      <c r="BC23" s="10"/>
      <c r="BD23" s="10"/>
      <c r="BE23" s="10"/>
      <c r="BF23" s="10"/>
      <c r="BG23" s="15"/>
      <c r="BH23" s="238"/>
      <c r="BI23" s="14"/>
      <c r="BJ23" s="10"/>
      <c r="BK23" s="10"/>
      <c r="BL23" s="10"/>
      <c r="BM23" s="10"/>
      <c r="BN23" s="10"/>
      <c r="BO23" s="10"/>
      <c r="BP23" s="10"/>
      <c r="BQ23" s="10"/>
      <c r="BR23" s="15"/>
      <c r="BS23" s="238"/>
      <c r="BT23" s="14"/>
      <c r="BU23" s="10"/>
      <c r="BV23" s="10"/>
      <c r="BW23" s="10"/>
      <c r="BX23" s="10"/>
      <c r="BY23" s="10"/>
      <c r="BZ23" s="10"/>
      <c r="CA23" s="10"/>
      <c r="CB23" s="14"/>
      <c r="CC23" s="10"/>
      <c r="CD23" s="10"/>
      <c r="CE23" s="10"/>
      <c r="CF23" s="10"/>
      <c r="CG23" s="10"/>
      <c r="CH23" s="10"/>
      <c r="CI23" s="238"/>
      <c r="CJ23" s="14"/>
      <c r="CK23" s="10"/>
      <c r="CL23" s="10"/>
      <c r="CM23" s="10"/>
      <c r="CN23" s="10"/>
      <c r="CO23" s="10"/>
      <c r="CP23" s="10"/>
      <c r="CQ23" s="10"/>
      <c r="CR23" s="14"/>
      <c r="CS23" s="10"/>
      <c r="CT23" s="10"/>
      <c r="CU23" s="10"/>
      <c r="CV23" s="10"/>
      <c r="CW23" s="10"/>
      <c r="CX23" s="10"/>
      <c r="CY23" s="238"/>
      <c r="CZ23" s="14"/>
      <c r="DA23" s="10"/>
      <c r="DB23" s="10"/>
      <c r="DC23" s="10"/>
      <c r="DD23" s="10"/>
      <c r="DE23" s="10"/>
      <c r="DF23" s="10"/>
      <c r="DG23" s="10"/>
      <c r="DH23" s="14"/>
      <c r="DI23" s="10"/>
      <c r="DJ23" s="10"/>
      <c r="DK23" s="10"/>
      <c r="DL23" s="10"/>
      <c r="DM23" s="10"/>
      <c r="DN23" s="10"/>
      <c r="DO23" s="238"/>
      <c r="DP23" s="14"/>
      <c r="DQ23" s="10"/>
      <c r="DR23" s="10"/>
      <c r="DS23" s="10"/>
      <c r="DT23" s="10"/>
      <c r="DU23" s="10"/>
      <c r="DV23" s="10"/>
      <c r="DW23" s="10"/>
      <c r="DX23" s="14"/>
      <c r="DY23" s="10"/>
      <c r="DZ23" s="10"/>
      <c r="EA23" s="10"/>
      <c r="EB23" s="10"/>
      <c r="EC23" s="10"/>
      <c r="ED23" s="10"/>
      <c r="EE23" s="238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238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238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238"/>
      <c r="FP23" s="14"/>
      <c r="FQ23" s="14"/>
      <c r="FR23" s="14"/>
      <c r="FS23" s="14"/>
      <c r="FT23" s="14"/>
      <c r="FU23" s="238"/>
      <c r="FV23" s="14"/>
      <c r="FW23" s="14"/>
      <c r="FX23" s="14"/>
      <c r="FY23" s="14"/>
      <c r="FZ23" s="14"/>
      <c r="GA23" s="120"/>
      <c r="GB23" s="122" t="str">
        <f t="shared" si="0"/>
        <v/>
      </c>
      <c r="GC23" s="140" t="str">
        <f t="shared" si="1"/>
        <v/>
      </c>
      <c r="GD23" s="122">
        <f t="shared" si="2"/>
        <v>0</v>
      </c>
      <c r="GE23" s="122">
        <f t="shared" si="3"/>
        <v>0</v>
      </c>
      <c r="GF23" s="122">
        <f t="shared" si="4"/>
        <v>0</v>
      </c>
      <c r="GG23" s="122">
        <f t="shared" si="5"/>
        <v>0</v>
      </c>
      <c r="GH23" s="122">
        <f t="shared" si="6"/>
        <v>0</v>
      </c>
      <c r="GI23" s="122">
        <f t="shared" si="7"/>
        <v>0</v>
      </c>
      <c r="GJ23" s="122">
        <f t="shared" si="8"/>
        <v>0</v>
      </c>
      <c r="GK23" s="122">
        <f t="shared" si="9"/>
        <v>0</v>
      </c>
      <c r="GL23" s="122">
        <f t="shared" si="10"/>
        <v>0</v>
      </c>
      <c r="GM23" s="122">
        <f t="shared" si="11"/>
        <v>0</v>
      </c>
      <c r="GN23" s="122">
        <f t="shared" si="12"/>
        <v>0</v>
      </c>
      <c r="GO23" s="122">
        <f t="shared" si="13"/>
        <v>0</v>
      </c>
      <c r="GP23" s="122">
        <f t="shared" si="14"/>
        <v>0</v>
      </c>
      <c r="GQ23" s="122">
        <f t="shared" si="15"/>
        <v>0</v>
      </c>
      <c r="GR23" s="122">
        <f t="shared" si="16"/>
        <v>0</v>
      </c>
      <c r="GS23" s="123">
        <f t="shared" si="17"/>
        <v>0</v>
      </c>
      <c r="GT23"/>
      <c r="GU23"/>
      <c r="GV23"/>
      <c r="GW23"/>
      <c r="GX23" s="118"/>
      <c r="GY23" s="118"/>
      <c r="GZ23" s="118"/>
      <c r="HA23" s="118"/>
      <c r="HB23" s="118"/>
      <c r="HC23" s="118"/>
      <c r="HD23" s="118"/>
      <c r="HE23" s="118"/>
      <c r="HF23" s="118"/>
      <c r="HG23" s="118"/>
      <c r="HH23" s="118"/>
      <c r="HI23" s="118"/>
      <c r="HJ23" s="118"/>
      <c r="HK23" s="118"/>
      <c r="HL23" s="118"/>
    </row>
    <row r="24" spans="1:220" s="74" customFormat="1" ht="30" hidden="1" customHeight="1" x14ac:dyDescent="0.35">
      <c r="A24" s="119">
        <v>15</v>
      </c>
      <c r="B24" s="3"/>
      <c r="C24" s="6"/>
      <c r="D24" s="3"/>
      <c r="E24" s="246"/>
      <c r="F24" s="8"/>
      <c r="G24" s="8"/>
      <c r="H24" s="8"/>
      <c r="I24" s="8"/>
      <c r="J24" s="8"/>
      <c r="K24" s="8"/>
      <c r="L24" s="8"/>
      <c r="M24" s="8"/>
      <c r="N24" s="8"/>
      <c r="O24" s="9"/>
      <c r="P24" s="238"/>
      <c r="Q24" s="12"/>
      <c r="R24" s="8"/>
      <c r="S24" s="8"/>
      <c r="T24" s="8"/>
      <c r="U24" s="8"/>
      <c r="V24" s="8"/>
      <c r="W24" s="8"/>
      <c r="X24" s="8"/>
      <c r="Y24" s="8"/>
      <c r="Z24" s="13"/>
      <c r="AA24" s="238"/>
      <c r="AB24" s="12"/>
      <c r="AC24" s="8"/>
      <c r="AD24" s="8"/>
      <c r="AE24" s="8"/>
      <c r="AF24" s="8"/>
      <c r="AG24" s="8"/>
      <c r="AH24" s="8"/>
      <c r="AI24" s="8"/>
      <c r="AJ24" s="8"/>
      <c r="AK24" s="13"/>
      <c r="AL24" s="238"/>
      <c r="AM24" s="12"/>
      <c r="AN24" s="8"/>
      <c r="AO24" s="8"/>
      <c r="AP24" s="8"/>
      <c r="AQ24" s="8"/>
      <c r="AR24" s="8"/>
      <c r="AS24" s="8"/>
      <c r="AT24" s="8"/>
      <c r="AU24" s="8"/>
      <c r="AV24" s="13"/>
      <c r="AW24" s="238"/>
      <c r="AX24" s="12"/>
      <c r="AY24" s="8"/>
      <c r="AZ24" s="8"/>
      <c r="BA24" s="8"/>
      <c r="BB24" s="8"/>
      <c r="BC24" s="8"/>
      <c r="BD24" s="8"/>
      <c r="BE24" s="8"/>
      <c r="BF24" s="8"/>
      <c r="BG24" s="13"/>
      <c r="BH24" s="238"/>
      <c r="BI24" s="12"/>
      <c r="BJ24" s="8"/>
      <c r="BK24" s="8"/>
      <c r="BL24" s="8"/>
      <c r="BM24" s="8"/>
      <c r="BN24" s="8"/>
      <c r="BO24" s="8"/>
      <c r="BP24" s="8"/>
      <c r="BQ24" s="8"/>
      <c r="BR24" s="13"/>
      <c r="BS24" s="238"/>
      <c r="BT24" s="12"/>
      <c r="BU24" s="8"/>
      <c r="BV24" s="8"/>
      <c r="BW24" s="8"/>
      <c r="BX24" s="8"/>
      <c r="BY24" s="8"/>
      <c r="BZ24" s="8"/>
      <c r="CA24" s="8"/>
      <c r="CB24" s="12"/>
      <c r="CC24" s="8"/>
      <c r="CD24" s="8"/>
      <c r="CE24" s="8"/>
      <c r="CF24" s="8"/>
      <c r="CG24" s="8"/>
      <c r="CH24" s="8"/>
      <c r="CI24" s="238"/>
      <c r="CJ24" s="12"/>
      <c r="CK24" s="8"/>
      <c r="CL24" s="8"/>
      <c r="CM24" s="8"/>
      <c r="CN24" s="8"/>
      <c r="CO24" s="8"/>
      <c r="CP24" s="8"/>
      <c r="CQ24" s="8"/>
      <c r="CR24" s="12"/>
      <c r="CS24" s="8"/>
      <c r="CT24" s="8"/>
      <c r="CU24" s="8"/>
      <c r="CV24" s="8"/>
      <c r="CW24" s="8"/>
      <c r="CX24" s="8"/>
      <c r="CY24" s="238"/>
      <c r="CZ24" s="12"/>
      <c r="DA24" s="8"/>
      <c r="DB24" s="8"/>
      <c r="DC24" s="8"/>
      <c r="DD24" s="8"/>
      <c r="DE24" s="8"/>
      <c r="DF24" s="8"/>
      <c r="DG24" s="8"/>
      <c r="DH24" s="12"/>
      <c r="DI24" s="8"/>
      <c r="DJ24" s="8"/>
      <c r="DK24" s="8"/>
      <c r="DL24" s="8"/>
      <c r="DM24" s="8"/>
      <c r="DN24" s="8"/>
      <c r="DO24" s="238"/>
      <c r="DP24" s="12"/>
      <c r="DQ24" s="8"/>
      <c r="DR24" s="8"/>
      <c r="DS24" s="8"/>
      <c r="DT24" s="8"/>
      <c r="DU24" s="8"/>
      <c r="DV24" s="8"/>
      <c r="DW24" s="8"/>
      <c r="DX24" s="12"/>
      <c r="DY24" s="8"/>
      <c r="DZ24" s="8"/>
      <c r="EA24" s="8"/>
      <c r="EB24" s="8"/>
      <c r="EC24" s="8"/>
      <c r="ED24" s="8"/>
      <c r="EE24" s="238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238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238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238"/>
      <c r="FP24" s="12"/>
      <c r="FQ24" s="12"/>
      <c r="FR24" s="12"/>
      <c r="FS24" s="12"/>
      <c r="FT24" s="12"/>
      <c r="FU24" s="238"/>
      <c r="FV24" s="12"/>
      <c r="FW24" s="12"/>
      <c r="FX24" s="12"/>
      <c r="FY24" s="12"/>
      <c r="FZ24" s="12"/>
      <c r="GA24" s="120"/>
      <c r="GB24" s="118" t="str">
        <f t="shared" si="0"/>
        <v/>
      </c>
      <c r="GC24" s="139" t="str">
        <f t="shared" si="1"/>
        <v/>
      </c>
      <c r="GD24" s="118">
        <f t="shared" si="2"/>
        <v>0</v>
      </c>
      <c r="GE24" s="118">
        <f t="shared" si="3"/>
        <v>0</v>
      </c>
      <c r="GF24" s="118">
        <f t="shared" si="4"/>
        <v>0</v>
      </c>
      <c r="GG24" s="118">
        <f t="shared" si="5"/>
        <v>0</v>
      </c>
      <c r="GH24" s="118">
        <f t="shared" si="6"/>
        <v>0</v>
      </c>
      <c r="GI24" s="118">
        <f t="shared" si="7"/>
        <v>0</v>
      </c>
      <c r="GJ24" s="118">
        <f t="shared" si="8"/>
        <v>0</v>
      </c>
      <c r="GK24" s="118">
        <f t="shared" si="9"/>
        <v>0</v>
      </c>
      <c r="GL24" s="118">
        <f t="shared" si="10"/>
        <v>0</v>
      </c>
      <c r="GM24" s="118">
        <f t="shared" si="11"/>
        <v>0</v>
      </c>
      <c r="GN24" s="118">
        <f t="shared" si="12"/>
        <v>0</v>
      </c>
      <c r="GO24" s="118">
        <f t="shared" si="13"/>
        <v>0</v>
      </c>
      <c r="GP24" s="118">
        <f t="shared" si="14"/>
        <v>0</v>
      </c>
      <c r="GQ24" s="118">
        <f t="shared" si="15"/>
        <v>0</v>
      </c>
      <c r="GR24" s="118">
        <f t="shared" si="16"/>
        <v>0</v>
      </c>
      <c r="GS24" s="121">
        <f t="shared" si="17"/>
        <v>0</v>
      </c>
      <c r="GT24"/>
      <c r="GU24"/>
      <c r="GV24"/>
      <c r="GW24"/>
      <c r="GX24" s="118"/>
      <c r="GY24" s="118"/>
      <c r="GZ24" s="118"/>
      <c r="HA24" s="118"/>
      <c r="HB24" s="118"/>
      <c r="HC24" s="118"/>
      <c r="HD24" s="118"/>
      <c r="HE24" s="118"/>
      <c r="HF24" s="118"/>
      <c r="HG24" s="118"/>
      <c r="HH24" s="118"/>
      <c r="HI24" s="118"/>
      <c r="HJ24" s="118"/>
      <c r="HK24" s="118"/>
      <c r="HL24" s="118"/>
    </row>
    <row r="25" spans="1:220" s="74" customFormat="1" ht="30" hidden="1" customHeight="1" x14ac:dyDescent="0.35">
      <c r="A25" s="119">
        <v>16</v>
      </c>
      <c r="B25" s="4"/>
      <c r="C25" s="7"/>
      <c r="D25" s="4"/>
      <c r="E25" s="246"/>
      <c r="F25" s="10"/>
      <c r="G25" s="10"/>
      <c r="H25" s="10"/>
      <c r="I25" s="10"/>
      <c r="J25" s="10"/>
      <c r="K25" s="10"/>
      <c r="L25" s="10"/>
      <c r="M25" s="10"/>
      <c r="N25" s="10"/>
      <c r="O25" s="11"/>
      <c r="P25" s="238"/>
      <c r="Q25" s="14"/>
      <c r="R25" s="10"/>
      <c r="S25" s="10"/>
      <c r="T25" s="10"/>
      <c r="U25" s="10"/>
      <c r="V25" s="10"/>
      <c r="W25" s="10"/>
      <c r="X25" s="10"/>
      <c r="Y25" s="10"/>
      <c r="Z25" s="15"/>
      <c r="AA25" s="238"/>
      <c r="AB25" s="14"/>
      <c r="AC25" s="10"/>
      <c r="AD25" s="10"/>
      <c r="AE25" s="10"/>
      <c r="AF25" s="10"/>
      <c r="AG25" s="10"/>
      <c r="AH25" s="10"/>
      <c r="AI25" s="10"/>
      <c r="AJ25" s="10"/>
      <c r="AK25" s="15"/>
      <c r="AL25" s="238"/>
      <c r="AM25" s="14"/>
      <c r="AN25" s="10"/>
      <c r="AO25" s="10"/>
      <c r="AP25" s="10"/>
      <c r="AQ25" s="10"/>
      <c r="AR25" s="10"/>
      <c r="AS25" s="10"/>
      <c r="AT25" s="10"/>
      <c r="AU25" s="10"/>
      <c r="AV25" s="15"/>
      <c r="AW25" s="238"/>
      <c r="AX25" s="14"/>
      <c r="AY25" s="10"/>
      <c r="AZ25" s="10"/>
      <c r="BA25" s="10"/>
      <c r="BB25" s="10"/>
      <c r="BC25" s="10"/>
      <c r="BD25" s="10"/>
      <c r="BE25" s="10"/>
      <c r="BF25" s="10"/>
      <c r="BG25" s="15"/>
      <c r="BH25" s="238"/>
      <c r="BI25" s="14"/>
      <c r="BJ25" s="10"/>
      <c r="BK25" s="10"/>
      <c r="BL25" s="10"/>
      <c r="BM25" s="10"/>
      <c r="BN25" s="10"/>
      <c r="BO25" s="10"/>
      <c r="BP25" s="10"/>
      <c r="BQ25" s="10"/>
      <c r="BR25" s="15"/>
      <c r="BS25" s="238"/>
      <c r="BT25" s="14"/>
      <c r="BU25" s="10"/>
      <c r="BV25" s="10"/>
      <c r="BW25" s="10"/>
      <c r="BX25" s="10"/>
      <c r="BY25" s="10"/>
      <c r="BZ25" s="10"/>
      <c r="CA25" s="10"/>
      <c r="CB25" s="14"/>
      <c r="CC25" s="10"/>
      <c r="CD25" s="10"/>
      <c r="CE25" s="10"/>
      <c r="CF25" s="10"/>
      <c r="CG25" s="10"/>
      <c r="CH25" s="10"/>
      <c r="CI25" s="238"/>
      <c r="CJ25" s="14"/>
      <c r="CK25" s="10"/>
      <c r="CL25" s="10"/>
      <c r="CM25" s="10"/>
      <c r="CN25" s="10"/>
      <c r="CO25" s="10"/>
      <c r="CP25" s="10"/>
      <c r="CQ25" s="10"/>
      <c r="CR25" s="14"/>
      <c r="CS25" s="10"/>
      <c r="CT25" s="10"/>
      <c r="CU25" s="10"/>
      <c r="CV25" s="10"/>
      <c r="CW25" s="10"/>
      <c r="CX25" s="10"/>
      <c r="CY25" s="238"/>
      <c r="CZ25" s="14"/>
      <c r="DA25" s="10"/>
      <c r="DB25" s="10"/>
      <c r="DC25" s="10"/>
      <c r="DD25" s="10"/>
      <c r="DE25" s="10"/>
      <c r="DF25" s="10"/>
      <c r="DG25" s="10"/>
      <c r="DH25" s="14"/>
      <c r="DI25" s="10"/>
      <c r="DJ25" s="10"/>
      <c r="DK25" s="10"/>
      <c r="DL25" s="10"/>
      <c r="DM25" s="10"/>
      <c r="DN25" s="10"/>
      <c r="DO25" s="238"/>
      <c r="DP25" s="14"/>
      <c r="DQ25" s="10"/>
      <c r="DR25" s="10"/>
      <c r="DS25" s="10"/>
      <c r="DT25" s="10"/>
      <c r="DU25" s="10"/>
      <c r="DV25" s="10"/>
      <c r="DW25" s="10"/>
      <c r="DX25" s="14"/>
      <c r="DY25" s="10"/>
      <c r="DZ25" s="10"/>
      <c r="EA25" s="10"/>
      <c r="EB25" s="10"/>
      <c r="EC25" s="10"/>
      <c r="ED25" s="10"/>
      <c r="EE25" s="238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238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238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238"/>
      <c r="FP25" s="14"/>
      <c r="FQ25" s="14"/>
      <c r="FR25" s="14"/>
      <c r="FS25" s="14"/>
      <c r="FT25" s="14"/>
      <c r="FU25" s="238"/>
      <c r="FV25" s="14"/>
      <c r="FW25" s="14"/>
      <c r="FX25" s="14"/>
      <c r="FY25" s="14"/>
      <c r="FZ25" s="14"/>
      <c r="GA25" s="120"/>
      <c r="GB25" s="122" t="str">
        <f t="shared" si="0"/>
        <v/>
      </c>
      <c r="GC25" s="140" t="str">
        <f t="shared" si="1"/>
        <v/>
      </c>
      <c r="GD25" s="122">
        <f t="shared" si="2"/>
        <v>0</v>
      </c>
      <c r="GE25" s="122">
        <f t="shared" si="3"/>
        <v>0</v>
      </c>
      <c r="GF25" s="122">
        <f t="shared" si="4"/>
        <v>0</v>
      </c>
      <c r="GG25" s="122">
        <f t="shared" si="5"/>
        <v>0</v>
      </c>
      <c r="GH25" s="122">
        <f t="shared" si="6"/>
        <v>0</v>
      </c>
      <c r="GI25" s="122">
        <f t="shared" si="7"/>
        <v>0</v>
      </c>
      <c r="GJ25" s="122">
        <f t="shared" si="8"/>
        <v>0</v>
      </c>
      <c r="GK25" s="122">
        <f t="shared" si="9"/>
        <v>0</v>
      </c>
      <c r="GL25" s="122">
        <f t="shared" si="10"/>
        <v>0</v>
      </c>
      <c r="GM25" s="122">
        <f t="shared" si="11"/>
        <v>0</v>
      </c>
      <c r="GN25" s="122">
        <f t="shared" si="12"/>
        <v>0</v>
      </c>
      <c r="GO25" s="122">
        <f t="shared" si="13"/>
        <v>0</v>
      </c>
      <c r="GP25" s="122">
        <f t="shared" si="14"/>
        <v>0</v>
      </c>
      <c r="GQ25" s="122">
        <f t="shared" si="15"/>
        <v>0</v>
      </c>
      <c r="GR25" s="122">
        <f t="shared" si="16"/>
        <v>0</v>
      </c>
      <c r="GS25" s="123">
        <f t="shared" si="17"/>
        <v>0</v>
      </c>
      <c r="GT25"/>
      <c r="GU25"/>
      <c r="GV25"/>
      <c r="GW25"/>
      <c r="GX25" s="118"/>
      <c r="GY25" s="118"/>
      <c r="GZ25" s="118"/>
      <c r="HA25" s="118"/>
      <c r="HB25" s="118"/>
      <c r="HC25" s="118"/>
      <c r="HD25" s="118"/>
      <c r="HE25" s="118"/>
      <c r="HF25" s="118"/>
      <c r="HG25" s="118"/>
      <c r="HH25" s="118"/>
      <c r="HI25" s="118"/>
      <c r="HJ25" s="118"/>
      <c r="HK25" s="118"/>
      <c r="HL25" s="118"/>
    </row>
    <row r="26" spans="1:220" s="74" customFormat="1" ht="30" hidden="1" customHeight="1" x14ac:dyDescent="0.35">
      <c r="A26" s="119">
        <v>17</v>
      </c>
      <c r="B26" s="3"/>
      <c r="C26" s="6"/>
      <c r="D26" s="3"/>
      <c r="E26" s="246"/>
      <c r="F26" s="8"/>
      <c r="G26" s="8"/>
      <c r="H26" s="8"/>
      <c r="I26" s="8"/>
      <c r="J26" s="8"/>
      <c r="K26" s="8"/>
      <c r="L26" s="8"/>
      <c r="M26" s="8"/>
      <c r="N26" s="8"/>
      <c r="O26" s="9"/>
      <c r="P26" s="238"/>
      <c r="Q26" s="12"/>
      <c r="R26" s="8"/>
      <c r="S26" s="8"/>
      <c r="T26" s="8"/>
      <c r="U26" s="8"/>
      <c r="V26" s="8"/>
      <c r="W26" s="8"/>
      <c r="X26" s="8"/>
      <c r="Y26" s="8"/>
      <c r="Z26" s="13"/>
      <c r="AA26" s="238"/>
      <c r="AB26" s="12"/>
      <c r="AC26" s="8"/>
      <c r="AD26" s="8"/>
      <c r="AE26" s="8"/>
      <c r="AF26" s="8"/>
      <c r="AG26" s="8"/>
      <c r="AH26" s="8"/>
      <c r="AI26" s="8"/>
      <c r="AJ26" s="8"/>
      <c r="AK26" s="13"/>
      <c r="AL26" s="238"/>
      <c r="AM26" s="12"/>
      <c r="AN26" s="8"/>
      <c r="AO26" s="8"/>
      <c r="AP26" s="8"/>
      <c r="AQ26" s="8"/>
      <c r="AR26" s="8"/>
      <c r="AS26" s="8"/>
      <c r="AT26" s="8"/>
      <c r="AU26" s="8"/>
      <c r="AV26" s="13"/>
      <c r="AW26" s="238"/>
      <c r="AX26" s="12"/>
      <c r="AY26" s="8"/>
      <c r="AZ26" s="8"/>
      <c r="BA26" s="8"/>
      <c r="BB26" s="8"/>
      <c r="BC26" s="8"/>
      <c r="BD26" s="8"/>
      <c r="BE26" s="8"/>
      <c r="BF26" s="8"/>
      <c r="BG26" s="13"/>
      <c r="BH26" s="238"/>
      <c r="BI26" s="12"/>
      <c r="BJ26" s="8"/>
      <c r="BK26" s="8"/>
      <c r="BL26" s="8"/>
      <c r="BM26" s="8"/>
      <c r="BN26" s="8"/>
      <c r="BO26" s="8"/>
      <c r="BP26" s="8"/>
      <c r="BQ26" s="8"/>
      <c r="BR26" s="13"/>
      <c r="BS26" s="238"/>
      <c r="BT26" s="12"/>
      <c r="BU26" s="8"/>
      <c r="BV26" s="8"/>
      <c r="BW26" s="8"/>
      <c r="BX26" s="8"/>
      <c r="BY26" s="8"/>
      <c r="BZ26" s="8"/>
      <c r="CA26" s="8"/>
      <c r="CB26" s="12"/>
      <c r="CC26" s="8"/>
      <c r="CD26" s="8"/>
      <c r="CE26" s="8"/>
      <c r="CF26" s="8"/>
      <c r="CG26" s="8"/>
      <c r="CH26" s="8"/>
      <c r="CI26" s="238"/>
      <c r="CJ26" s="12"/>
      <c r="CK26" s="8"/>
      <c r="CL26" s="8"/>
      <c r="CM26" s="8"/>
      <c r="CN26" s="8"/>
      <c r="CO26" s="8"/>
      <c r="CP26" s="8"/>
      <c r="CQ26" s="8"/>
      <c r="CR26" s="12"/>
      <c r="CS26" s="8"/>
      <c r="CT26" s="8"/>
      <c r="CU26" s="8"/>
      <c r="CV26" s="8"/>
      <c r="CW26" s="8"/>
      <c r="CX26" s="8"/>
      <c r="CY26" s="238"/>
      <c r="CZ26" s="12"/>
      <c r="DA26" s="8"/>
      <c r="DB26" s="8"/>
      <c r="DC26" s="8"/>
      <c r="DD26" s="8"/>
      <c r="DE26" s="8"/>
      <c r="DF26" s="8"/>
      <c r="DG26" s="8"/>
      <c r="DH26" s="12"/>
      <c r="DI26" s="8"/>
      <c r="DJ26" s="8"/>
      <c r="DK26" s="8"/>
      <c r="DL26" s="8"/>
      <c r="DM26" s="8"/>
      <c r="DN26" s="8"/>
      <c r="DO26" s="238"/>
      <c r="DP26" s="12"/>
      <c r="DQ26" s="8"/>
      <c r="DR26" s="8"/>
      <c r="DS26" s="8"/>
      <c r="DT26" s="8"/>
      <c r="DU26" s="8"/>
      <c r="DV26" s="8"/>
      <c r="DW26" s="8"/>
      <c r="DX26" s="12"/>
      <c r="DY26" s="8"/>
      <c r="DZ26" s="8"/>
      <c r="EA26" s="8"/>
      <c r="EB26" s="8"/>
      <c r="EC26" s="8"/>
      <c r="ED26" s="8"/>
      <c r="EE26" s="238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238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238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238"/>
      <c r="FP26" s="12"/>
      <c r="FQ26" s="12"/>
      <c r="FR26" s="12"/>
      <c r="FS26" s="12"/>
      <c r="FT26" s="12"/>
      <c r="FU26" s="238"/>
      <c r="FV26" s="12"/>
      <c r="FW26" s="12"/>
      <c r="FX26" s="12"/>
      <c r="FY26" s="12"/>
      <c r="FZ26" s="12"/>
      <c r="GA26" s="120"/>
      <c r="GB26" s="118" t="str">
        <f t="shared" si="0"/>
        <v/>
      </c>
      <c r="GC26" s="139" t="str">
        <f t="shared" si="1"/>
        <v/>
      </c>
      <c r="GD26" s="118">
        <f t="shared" si="2"/>
        <v>0</v>
      </c>
      <c r="GE26" s="118">
        <f t="shared" si="3"/>
        <v>0</v>
      </c>
      <c r="GF26" s="118">
        <f t="shared" si="4"/>
        <v>0</v>
      </c>
      <c r="GG26" s="118">
        <f t="shared" si="5"/>
        <v>0</v>
      </c>
      <c r="GH26" s="118">
        <f t="shared" si="6"/>
        <v>0</v>
      </c>
      <c r="GI26" s="118">
        <f t="shared" si="7"/>
        <v>0</v>
      </c>
      <c r="GJ26" s="118">
        <f t="shared" si="8"/>
        <v>0</v>
      </c>
      <c r="GK26" s="118">
        <f t="shared" si="9"/>
        <v>0</v>
      </c>
      <c r="GL26" s="118">
        <f t="shared" si="10"/>
        <v>0</v>
      </c>
      <c r="GM26" s="118">
        <f t="shared" si="11"/>
        <v>0</v>
      </c>
      <c r="GN26" s="118">
        <f t="shared" si="12"/>
        <v>0</v>
      </c>
      <c r="GO26" s="118">
        <f t="shared" si="13"/>
        <v>0</v>
      </c>
      <c r="GP26" s="118">
        <f t="shared" si="14"/>
        <v>0</v>
      </c>
      <c r="GQ26" s="118">
        <f t="shared" si="15"/>
        <v>0</v>
      </c>
      <c r="GR26" s="118">
        <f t="shared" si="16"/>
        <v>0</v>
      </c>
      <c r="GS26" s="121">
        <f t="shared" si="17"/>
        <v>0</v>
      </c>
      <c r="GT26"/>
      <c r="GU26"/>
      <c r="GV26"/>
      <c r="GW26"/>
      <c r="GX26" s="118"/>
      <c r="GY26" s="118"/>
      <c r="GZ26" s="118"/>
      <c r="HA26" s="118"/>
      <c r="HB26" s="118"/>
      <c r="HC26" s="118"/>
      <c r="HD26" s="118"/>
      <c r="HE26" s="118"/>
      <c r="HF26" s="118"/>
      <c r="HG26" s="118"/>
      <c r="HH26" s="118"/>
      <c r="HI26" s="118"/>
      <c r="HJ26" s="118"/>
      <c r="HK26" s="118"/>
      <c r="HL26" s="118"/>
    </row>
    <row r="27" spans="1:220" s="74" customFormat="1" ht="30" hidden="1" customHeight="1" x14ac:dyDescent="0.35">
      <c r="A27" s="119">
        <v>18</v>
      </c>
      <c r="B27" s="4"/>
      <c r="C27" s="7"/>
      <c r="D27" s="4"/>
      <c r="E27" s="246"/>
      <c r="F27" s="10"/>
      <c r="G27" s="10"/>
      <c r="H27" s="10"/>
      <c r="I27" s="10"/>
      <c r="J27" s="10"/>
      <c r="K27" s="10"/>
      <c r="L27" s="10"/>
      <c r="M27" s="10"/>
      <c r="N27" s="10"/>
      <c r="O27" s="11"/>
      <c r="P27" s="238"/>
      <c r="Q27" s="14"/>
      <c r="R27" s="10"/>
      <c r="S27" s="10"/>
      <c r="T27" s="10"/>
      <c r="U27" s="10"/>
      <c r="V27" s="10"/>
      <c r="W27" s="10"/>
      <c r="X27" s="10"/>
      <c r="Y27" s="10"/>
      <c r="Z27" s="15"/>
      <c r="AA27" s="238"/>
      <c r="AB27" s="14"/>
      <c r="AC27" s="10"/>
      <c r="AD27" s="10"/>
      <c r="AE27" s="10"/>
      <c r="AF27" s="10"/>
      <c r="AG27" s="10"/>
      <c r="AH27" s="10"/>
      <c r="AI27" s="10"/>
      <c r="AJ27" s="10"/>
      <c r="AK27" s="15"/>
      <c r="AL27" s="238"/>
      <c r="AM27" s="14"/>
      <c r="AN27" s="10"/>
      <c r="AO27" s="10"/>
      <c r="AP27" s="10"/>
      <c r="AQ27" s="10"/>
      <c r="AR27" s="10"/>
      <c r="AS27" s="10"/>
      <c r="AT27" s="10"/>
      <c r="AU27" s="10"/>
      <c r="AV27" s="15"/>
      <c r="AW27" s="238"/>
      <c r="AX27" s="14"/>
      <c r="AY27" s="10"/>
      <c r="AZ27" s="10"/>
      <c r="BA27" s="10"/>
      <c r="BB27" s="10"/>
      <c r="BC27" s="10"/>
      <c r="BD27" s="10"/>
      <c r="BE27" s="10"/>
      <c r="BF27" s="10"/>
      <c r="BG27" s="15"/>
      <c r="BH27" s="238"/>
      <c r="BI27" s="14"/>
      <c r="BJ27" s="10"/>
      <c r="BK27" s="10"/>
      <c r="BL27" s="10"/>
      <c r="BM27" s="10"/>
      <c r="BN27" s="10"/>
      <c r="BO27" s="10"/>
      <c r="BP27" s="10"/>
      <c r="BQ27" s="10"/>
      <c r="BR27" s="15"/>
      <c r="BS27" s="238"/>
      <c r="BT27" s="14"/>
      <c r="BU27" s="10"/>
      <c r="BV27" s="10"/>
      <c r="BW27" s="10"/>
      <c r="BX27" s="10"/>
      <c r="BY27" s="10"/>
      <c r="BZ27" s="10"/>
      <c r="CA27" s="10"/>
      <c r="CB27" s="14"/>
      <c r="CC27" s="10"/>
      <c r="CD27" s="10"/>
      <c r="CE27" s="10"/>
      <c r="CF27" s="10"/>
      <c r="CG27" s="10"/>
      <c r="CH27" s="10"/>
      <c r="CI27" s="238"/>
      <c r="CJ27" s="14"/>
      <c r="CK27" s="10"/>
      <c r="CL27" s="10"/>
      <c r="CM27" s="10"/>
      <c r="CN27" s="10"/>
      <c r="CO27" s="10"/>
      <c r="CP27" s="10"/>
      <c r="CQ27" s="10"/>
      <c r="CR27" s="14"/>
      <c r="CS27" s="10"/>
      <c r="CT27" s="10"/>
      <c r="CU27" s="10"/>
      <c r="CV27" s="10"/>
      <c r="CW27" s="10"/>
      <c r="CX27" s="10"/>
      <c r="CY27" s="238"/>
      <c r="CZ27" s="14"/>
      <c r="DA27" s="10"/>
      <c r="DB27" s="10"/>
      <c r="DC27" s="10"/>
      <c r="DD27" s="10"/>
      <c r="DE27" s="10"/>
      <c r="DF27" s="10"/>
      <c r="DG27" s="10"/>
      <c r="DH27" s="14"/>
      <c r="DI27" s="10"/>
      <c r="DJ27" s="10"/>
      <c r="DK27" s="10"/>
      <c r="DL27" s="10"/>
      <c r="DM27" s="10"/>
      <c r="DN27" s="10"/>
      <c r="DO27" s="238"/>
      <c r="DP27" s="14"/>
      <c r="DQ27" s="10"/>
      <c r="DR27" s="10"/>
      <c r="DS27" s="10"/>
      <c r="DT27" s="10"/>
      <c r="DU27" s="10"/>
      <c r="DV27" s="10"/>
      <c r="DW27" s="10"/>
      <c r="DX27" s="14"/>
      <c r="DY27" s="10"/>
      <c r="DZ27" s="10"/>
      <c r="EA27" s="10"/>
      <c r="EB27" s="10"/>
      <c r="EC27" s="10"/>
      <c r="ED27" s="10"/>
      <c r="EE27" s="238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238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238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238"/>
      <c r="FP27" s="14"/>
      <c r="FQ27" s="14"/>
      <c r="FR27" s="14"/>
      <c r="FS27" s="14"/>
      <c r="FT27" s="14"/>
      <c r="FU27" s="238"/>
      <c r="FV27" s="14"/>
      <c r="FW27" s="14"/>
      <c r="FX27" s="14"/>
      <c r="FY27" s="14"/>
      <c r="FZ27" s="14"/>
      <c r="GA27" s="120"/>
      <c r="GB27" s="122" t="str">
        <f t="shared" si="0"/>
        <v/>
      </c>
      <c r="GC27" s="140" t="str">
        <f t="shared" si="1"/>
        <v/>
      </c>
      <c r="GD27" s="122">
        <f t="shared" si="2"/>
        <v>0</v>
      </c>
      <c r="GE27" s="122">
        <f t="shared" si="3"/>
        <v>0</v>
      </c>
      <c r="GF27" s="122">
        <f t="shared" si="4"/>
        <v>0</v>
      </c>
      <c r="GG27" s="122">
        <f t="shared" si="5"/>
        <v>0</v>
      </c>
      <c r="GH27" s="122">
        <f t="shared" si="6"/>
        <v>0</v>
      </c>
      <c r="GI27" s="122">
        <f t="shared" si="7"/>
        <v>0</v>
      </c>
      <c r="GJ27" s="122">
        <f t="shared" si="8"/>
        <v>0</v>
      </c>
      <c r="GK27" s="122">
        <f t="shared" si="9"/>
        <v>0</v>
      </c>
      <c r="GL27" s="122">
        <f t="shared" si="10"/>
        <v>0</v>
      </c>
      <c r="GM27" s="122">
        <f t="shared" si="11"/>
        <v>0</v>
      </c>
      <c r="GN27" s="122">
        <f t="shared" si="12"/>
        <v>0</v>
      </c>
      <c r="GO27" s="122">
        <f t="shared" si="13"/>
        <v>0</v>
      </c>
      <c r="GP27" s="122">
        <f t="shared" si="14"/>
        <v>0</v>
      </c>
      <c r="GQ27" s="122">
        <f t="shared" si="15"/>
        <v>0</v>
      </c>
      <c r="GR27" s="122">
        <f t="shared" si="16"/>
        <v>0</v>
      </c>
      <c r="GS27" s="123">
        <f t="shared" si="17"/>
        <v>0</v>
      </c>
      <c r="GT27"/>
      <c r="GU27"/>
      <c r="GV27"/>
      <c r="GW27"/>
      <c r="GX27" s="118"/>
      <c r="GY27" s="118"/>
      <c r="GZ27" s="118"/>
      <c r="HA27" s="118"/>
      <c r="HB27" s="118"/>
      <c r="HC27" s="118"/>
      <c r="HD27" s="118"/>
      <c r="HE27" s="118"/>
      <c r="HF27" s="118"/>
      <c r="HG27" s="118"/>
      <c r="HH27" s="118"/>
      <c r="HI27" s="118"/>
      <c r="HJ27" s="118"/>
      <c r="HK27" s="118"/>
      <c r="HL27" s="118"/>
    </row>
    <row r="28" spans="1:220" s="74" customFormat="1" ht="30" hidden="1" customHeight="1" x14ac:dyDescent="0.35">
      <c r="A28" s="119">
        <v>19</v>
      </c>
      <c r="B28" s="3"/>
      <c r="C28" s="6"/>
      <c r="D28" s="3"/>
      <c r="E28" s="246"/>
      <c r="F28" s="8"/>
      <c r="G28" s="8"/>
      <c r="H28" s="8"/>
      <c r="I28" s="8"/>
      <c r="J28" s="8"/>
      <c r="K28" s="8"/>
      <c r="L28" s="8"/>
      <c r="M28" s="8"/>
      <c r="N28" s="8"/>
      <c r="O28" s="9"/>
      <c r="P28" s="238"/>
      <c r="Q28" s="12"/>
      <c r="R28" s="8"/>
      <c r="S28" s="8"/>
      <c r="T28" s="8"/>
      <c r="U28" s="8"/>
      <c r="V28" s="8"/>
      <c r="W28" s="8"/>
      <c r="X28" s="8"/>
      <c r="Y28" s="8"/>
      <c r="Z28" s="13"/>
      <c r="AA28" s="238"/>
      <c r="AB28" s="12"/>
      <c r="AC28" s="8"/>
      <c r="AD28" s="8"/>
      <c r="AE28" s="8"/>
      <c r="AF28" s="8"/>
      <c r="AG28" s="8"/>
      <c r="AH28" s="8"/>
      <c r="AI28" s="8"/>
      <c r="AJ28" s="8"/>
      <c r="AK28" s="13"/>
      <c r="AL28" s="238"/>
      <c r="AM28" s="12"/>
      <c r="AN28" s="8"/>
      <c r="AO28" s="8"/>
      <c r="AP28" s="8"/>
      <c r="AQ28" s="8"/>
      <c r="AR28" s="8"/>
      <c r="AS28" s="8"/>
      <c r="AT28" s="8"/>
      <c r="AU28" s="8"/>
      <c r="AV28" s="13"/>
      <c r="AW28" s="238"/>
      <c r="AX28" s="12"/>
      <c r="AY28" s="8"/>
      <c r="AZ28" s="8"/>
      <c r="BA28" s="8"/>
      <c r="BB28" s="8"/>
      <c r="BC28" s="8"/>
      <c r="BD28" s="8"/>
      <c r="BE28" s="8"/>
      <c r="BF28" s="8"/>
      <c r="BG28" s="13"/>
      <c r="BH28" s="238"/>
      <c r="BI28" s="12"/>
      <c r="BJ28" s="8"/>
      <c r="BK28" s="8"/>
      <c r="BL28" s="8"/>
      <c r="BM28" s="8"/>
      <c r="BN28" s="8"/>
      <c r="BO28" s="8"/>
      <c r="BP28" s="8"/>
      <c r="BQ28" s="8"/>
      <c r="BR28" s="13"/>
      <c r="BS28" s="238"/>
      <c r="BT28" s="12"/>
      <c r="BU28" s="8"/>
      <c r="BV28" s="8"/>
      <c r="BW28" s="8"/>
      <c r="BX28" s="8"/>
      <c r="BY28" s="8"/>
      <c r="BZ28" s="8"/>
      <c r="CA28" s="8"/>
      <c r="CB28" s="12"/>
      <c r="CC28" s="8"/>
      <c r="CD28" s="8"/>
      <c r="CE28" s="8"/>
      <c r="CF28" s="8"/>
      <c r="CG28" s="8"/>
      <c r="CH28" s="8"/>
      <c r="CI28" s="238"/>
      <c r="CJ28" s="12"/>
      <c r="CK28" s="8"/>
      <c r="CL28" s="8"/>
      <c r="CM28" s="8"/>
      <c r="CN28" s="8"/>
      <c r="CO28" s="8"/>
      <c r="CP28" s="8"/>
      <c r="CQ28" s="8"/>
      <c r="CR28" s="12"/>
      <c r="CS28" s="8"/>
      <c r="CT28" s="8"/>
      <c r="CU28" s="8"/>
      <c r="CV28" s="8"/>
      <c r="CW28" s="8"/>
      <c r="CX28" s="8"/>
      <c r="CY28" s="238"/>
      <c r="CZ28" s="12"/>
      <c r="DA28" s="8"/>
      <c r="DB28" s="8"/>
      <c r="DC28" s="8"/>
      <c r="DD28" s="8"/>
      <c r="DE28" s="8"/>
      <c r="DF28" s="8"/>
      <c r="DG28" s="8"/>
      <c r="DH28" s="12"/>
      <c r="DI28" s="8"/>
      <c r="DJ28" s="8"/>
      <c r="DK28" s="8"/>
      <c r="DL28" s="8"/>
      <c r="DM28" s="8"/>
      <c r="DN28" s="8"/>
      <c r="DO28" s="238"/>
      <c r="DP28" s="12"/>
      <c r="DQ28" s="8"/>
      <c r="DR28" s="8"/>
      <c r="DS28" s="8"/>
      <c r="DT28" s="8"/>
      <c r="DU28" s="8"/>
      <c r="DV28" s="8"/>
      <c r="DW28" s="8"/>
      <c r="DX28" s="12"/>
      <c r="DY28" s="8"/>
      <c r="DZ28" s="8"/>
      <c r="EA28" s="8"/>
      <c r="EB28" s="8"/>
      <c r="EC28" s="8"/>
      <c r="ED28" s="8"/>
      <c r="EE28" s="238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238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238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238"/>
      <c r="FP28" s="12"/>
      <c r="FQ28" s="12"/>
      <c r="FR28" s="12"/>
      <c r="FS28" s="12"/>
      <c r="FT28" s="12"/>
      <c r="FU28" s="238"/>
      <c r="FV28" s="12"/>
      <c r="FW28" s="12"/>
      <c r="FX28" s="12"/>
      <c r="FY28" s="12"/>
      <c r="FZ28" s="12"/>
      <c r="GA28" s="120"/>
      <c r="GB28" s="118" t="str">
        <f t="shared" si="0"/>
        <v/>
      </c>
      <c r="GC28" s="139" t="str">
        <f t="shared" si="1"/>
        <v/>
      </c>
      <c r="GD28" s="118">
        <f t="shared" si="2"/>
        <v>0</v>
      </c>
      <c r="GE28" s="118">
        <f t="shared" si="3"/>
        <v>0</v>
      </c>
      <c r="GF28" s="118">
        <f t="shared" si="4"/>
        <v>0</v>
      </c>
      <c r="GG28" s="118">
        <f t="shared" si="5"/>
        <v>0</v>
      </c>
      <c r="GH28" s="118">
        <f t="shared" si="6"/>
        <v>0</v>
      </c>
      <c r="GI28" s="118">
        <f t="shared" si="7"/>
        <v>0</v>
      </c>
      <c r="GJ28" s="118">
        <f t="shared" si="8"/>
        <v>0</v>
      </c>
      <c r="GK28" s="118">
        <f t="shared" si="9"/>
        <v>0</v>
      </c>
      <c r="GL28" s="118">
        <f t="shared" si="10"/>
        <v>0</v>
      </c>
      <c r="GM28" s="118">
        <f t="shared" si="11"/>
        <v>0</v>
      </c>
      <c r="GN28" s="118">
        <f t="shared" si="12"/>
        <v>0</v>
      </c>
      <c r="GO28" s="118">
        <f t="shared" si="13"/>
        <v>0</v>
      </c>
      <c r="GP28" s="118">
        <f t="shared" si="14"/>
        <v>0</v>
      </c>
      <c r="GQ28" s="118">
        <f t="shared" si="15"/>
        <v>0</v>
      </c>
      <c r="GR28" s="118">
        <f t="shared" si="16"/>
        <v>0</v>
      </c>
      <c r="GS28" s="121">
        <f t="shared" si="17"/>
        <v>0</v>
      </c>
      <c r="GT28"/>
      <c r="GU28"/>
      <c r="GV28"/>
      <c r="GW28"/>
      <c r="GX28" s="118"/>
      <c r="GY28" s="118"/>
      <c r="GZ28" s="118"/>
      <c r="HA28" s="118"/>
      <c r="HB28" s="118"/>
      <c r="HC28" s="118"/>
      <c r="HD28" s="118"/>
      <c r="HE28" s="118"/>
      <c r="HF28" s="118"/>
      <c r="HG28" s="118"/>
      <c r="HH28" s="118"/>
      <c r="HI28" s="118"/>
      <c r="HJ28" s="118"/>
      <c r="HK28" s="118"/>
      <c r="HL28" s="118"/>
    </row>
    <row r="29" spans="1:220" s="74" customFormat="1" ht="30" hidden="1" customHeight="1" x14ac:dyDescent="0.35">
      <c r="A29" s="119">
        <v>20</v>
      </c>
      <c r="B29" s="4"/>
      <c r="C29" s="7"/>
      <c r="D29" s="4"/>
      <c r="E29" s="246"/>
      <c r="F29" s="10"/>
      <c r="G29" s="10"/>
      <c r="H29" s="10"/>
      <c r="I29" s="10"/>
      <c r="J29" s="10"/>
      <c r="K29" s="10"/>
      <c r="L29" s="10"/>
      <c r="M29" s="10"/>
      <c r="N29" s="10"/>
      <c r="O29" s="11"/>
      <c r="P29" s="238"/>
      <c r="Q29" s="14"/>
      <c r="R29" s="10"/>
      <c r="S29" s="10"/>
      <c r="T29" s="10"/>
      <c r="U29" s="10"/>
      <c r="V29" s="10"/>
      <c r="W29" s="10"/>
      <c r="X29" s="10"/>
      <c r="Y29" s="10"/>
      <c r="Z29" s="15"/>
      <c r="AA29" s="238"/>
      <c r="AB29" s="14"/>
      <c r="AC29" s="10"/>
      <c r="AD29" s="10"/>
      <c r="AE29" s="10"/>
      <c r="AF29" s="10"/>
      <c r="AG29" s="10"/>
      <c r="AH29" s="10"/>
      <c r="AI29" s="10"/>
      <c r="AJ29" s="10"/>
      <c r="AK29" s="15"/>
      <c r="AL29" s="238"/>
      <c r="AM29" s="14"/>
      <c r="AN29" s="10"/>
      <c r="AO29" s="10"/>
      <c r="AP29" s="10"/>
      <c r="AQ29" s="10"/>
      <c r="AR29" s="10"/>
      <c r="AS29" s="10"/>
      <c r="AT29" s="10"/>
      <c r="AU29" s="10"/>
      <c r="AV29" s="15"/>
      <c r="AW29" s="238"/>
      <c r="AX29" s="14"/>
      <c r="AY29" s="10"/>
      <c r="AZ29" s="10"/>
      <c r="BA29" s="10"/>
      <c r="BB29" s="10"/>
      <c r="BC29" s="10"/>
      <c r="BD29" s="10"/>
      <c r="BE29" s="10"/>
      <c r="BF29" s="10"/>
      <c r="BG29" s="15"/>
      <c r="BH29" s="238"/>
      <c r="BI29" s="14"/>
      <c r="BJ29" s="10"/>
      <c r="BK29" s="10"/>
      <c r="BL29" s="10"/>
      <c r="BM29" s="10"/>
      <c r="BN29" s="10"/>
      <c r="BO29" s="10"/>
      <c r="BP29" s="10"/>
      <c r="BQ29" s="10"/>
      <c r="BR29" s="15"/>
      <c r="BS29" s="238"/>
      <c r="BT29" s="14"/>
      <c r="BU29" s="10"/>
      <c r="BV29" s="10"/>
      <c r="BW29" s="10"/>
      <c r="BX29" s="10"/>
      <c r="BY29" s="10"/>
      <c r="BZ29" s="10"/>
      <c r="CA29" s="10"/>
      <c r="CB29" s="14"/>
      <c r="CC29" s="10"/>
      <c r="CD29" s="10"/>
      <c r="CE29" s="10"/>
      <c r="CF29" s="10"/>
      <c r="CG29" s="10"/>
      <c r="CH29" s="10"/>
      <c r="CI29" s="238"/>
      <c r="CJ29" s="14"/>
      <c r="CK29" s="10"/>
      <c r="CL29" s="10"/>
      <c r="CM29" s="10"/>
      <c r="CN29" s="10"/>
      <c r="CO29" s="10"/>
      <c r="CP29" s="10"/>
      <c r="CQ29" s="10"/>
      <c r="CR29" s="14"/>
      <c r="CS29" s="10"/>
      <c r="CT29" s="10"/>
      <c r="CU29" s="10"/>
      <c r="CV29" s="10"/>
      <c r="CW29" s="10"/>
      <c r="CX29" s="10"/>
      <c r="CY29" s="238"/>
      <c r="CZ29" s="14"/>
      <c r="DA29" s="10"/>
      <c r="DB29" s="10"/>
      <c r="DC29" s="10"/>
      <c r="DD29" s="10"/>
      <c r="DE29" s="10"/>
      <c r="DF29" s="10"/>
      <c r="DG29" s="10"/>
      <c r="DH29" s="14"/>
      <c r="DI29" s="10"/>
      <c r="DJ29" s="10"/>
      <c r="DK29" s="10"/>
      <c r="DL29" s="10"/>
      <c r="DM29" s="10"/>
      <c r="DN29" s="10"/>
      <c r="DO29" s="238"/>
      <c r="DP29" s="14"/>
      <c r="DQ29" s="10"/>
      <c r="DR29" s="10"/>
      <c r="DS29" s="10"/>
      <c r="DT29" s="10"/>
      <c r="DU29" s="10"/>
      <c r="DV29" s="10"/>
      <c r="DW29" s="10"/>
      <c r="DX29" s="14"/>
      <c r="DY29" s="10"/>
      <c r="DZ29" s="10"/>
      <c r="EA29" s="10"/>
      <c r="EB29" s="10"/>
      <c r="EC29" s="10"/>
      <c r="ED29" s="10"/>
      <c r="EE29" s="238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238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238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238"/>
      <c r="FP29" s="14"/>
      <c r="FQ29" s="14"/>
      <c r="FR29" s="14"/>
      <c r="FS29" s="14"/>
      <c r="FT29" s="14"/>
      <c r="FU29" s="238"/>
      <c r="FV29" s="14"/>
      <c r="FW29" s="14"/>
      <c r="FX29" s="14"/>
      <c r="FY29" s="14"/>
      <c r="FZ29" s="14"/>
      <c r="GA29" s="120"/>
      <c r="GB29" s="122" t="str">
        <f t="shared" si="0"/>
        <v/>
      </c>
      <c r="GC29" s="140" t="str">
        <f t="shared" si="1"/>
        <v/>
      </c>
      <c r="GD29" s="122">
        <f t="shared" si="2"/>
        <v>0</v>
      </c>
      <c r="GE29" s="122">
        <f t="shared" si="3"/>
        <v>0</v>
      </c>
      <c r="GF29" s="122">
        <f t="shared" si="4"/>
        <v>0</v>
      </c>
      <c r="GG29" s="122">
        <f t="shared" si="5"/>
        <v>0</v>
      </c>
      <c r="GH29" s="122">
        <f t="shared" si="6"/>
        <v>0</v>
      </c>
      <c r="GI29" s="122">
        <f t="shared" si="7"/>
        <v>0</v>
      </c>
      <c r="GJ29" s="122">
        <f t="shared" si="8"/>
        <v>0</v>
      </c>
      <c r="GK29" s="122">
        <f t="shared" si="9"/>
        <v>0</v>
      </c>
      <c r="GL29" s="122">
        <f t="shared" si="10"/>
        <v>0</v>
      </c>
      <c r="GM29" s="122">
        <f t="shared" si="11"/>
        <v>0</v>
      </c>
      <c r="GN29" s="122">
        <f t="shared" si="12"/>
        <v>0</v>
      </c>
      <c r="GO29" s="122">
        <f t="shared" si="13"/>
        <v>0</v>
      </c>
      <c r="GP29" s="122">
        <f t="shared" si="14"/>
        <v>0</v>
      </c>
      <c r="GQ29" s="122">
        <f t="shared" si="15"/>
        <v>0</v>
      </c>
      <c r="GR29" s="122">
        <f t="shared" si="16"/>
        <v>0</v>
      </c>
      <c r="GS29" s="123">
        <f t="shared" si="17"/>
        <v>0</v>
      </c>
      <c r="GT29"/>
      <c r="GU29"/>
      <c r="GV29"/>
      <c r="GW29"/>
      <c r="GX29" s="118"/>
      <c r="GY29" s="118"/>
      <c r="GZ29" s="118"/>
      <c r="HA29" s="118"/>
      <c r="HB29" s="118"/>
      <c r="HC29" s="118"/>
      <c r="HD29" s="118"/>
      <c r="HE29" s="118"/>
      <c r="HF29" s="118"/>
      <c r="HG29" s="118"/>
      <c r="HH29" s="118"/>
      <c r="HI29" s="118"/>
      <c r="HJ29" s="118"/>
      <c r="HK29" s="118"/>
      <c r="HL29" s="118"/>
    </row>
    <row r="30" spans="1:220" s="74" customFormat="1" ht="30" hidden="1" customHeight="1" x14ac:dyDescent="0.35">
      <c r="A30" s="119">
        <v>21</v>
      </c>
      <c r="B30" s="3"/>
      <c r="C30" s="6"/>
      <c r="D30" s="3"/>
      <c r="E30" s="246"/>
      <c r="F30" s="8"/>
      <c r="G30" s="8"/>
      <c r="H30" s="8"/>
      <c r="I30" s="8"/>
      <c r="J30" s="8"/>
      <c r="K30" s="8"/>
      <c r="L30" s="8"/>
      <c r="M30" s="8"/>
      <c r="N30" s="8"/>
      <c r="O30" s="9"/>
      <c r="P30" s="238"/>
      <c r="Q30" s="12"/>
      <c r="R30" s="8"/>
      <c r="S30" s="8"/>
      <c r="T30" s="8"/>
      <c r="U30" s="8"/>
      <c r="V30" s="8"/>
      <c r="W30" s="8"/>
      <c r="X30" s="8"/>
      <c r="Y30" s="8"/>
      <c r="Z30" s="13"/>
      <c r="AA30" s="238"/>
      <c r="AB30" s="12"/>
      <c r="AC30" s="8"/>
      <c r="AD30" s="8"/>
      <c r="AE30" s="8"/>
      <c r="AF30" s="8"/>
      <c r="AG30" s="8"/>
      <c r="AH30" s="8"/>
      <c r="AI30" s="8"/>
      <c r="AJ30" s="8"/>
      <c r="AK30" s="13"/>
      <c r="AL30" s="238"/>
      <c r="AM30" s="12"/>
      <c r="AN30" s="8"/>
      <c r="AO30" s="8"/>
      <c r="AP30" s="8"/>
      <c r="AQ30" s="8"/>
      <c r="AR30" s="8"/>
      <c r="AS30" s="8"/>
      <c r="AT30" s="8"/>
      <c r="AU30" s="8"/>
      <c r="AV30" s="13"/>
      <c r="AW30" s="238"/>
      <c r="AX30" s="12"/>
      <c r="AY30" s="8"/>
      <c r="AZ30" s="8"/>
      <c r="BA30" s="8"/>
      <c r="BB30" s="8"/>
      <c r="BC30" s="8"/>
      <c r="BD30" s="8"/>
      <c r="BE30" s="8"/>
      <c r="BF30" s="8"/>
      <c r="BG30" s="13"/>
      <c r="BH30" s="238"/>
      <c r="BI30" s="12"/>
      <c r="BJ30" s="8"/>
      <c r="BK30" s="8"/>
      <c r="BL30" s="8"/>
      <c r="BM30" s="8"/>
      <c r="BN30" s="8"/>
      <c r="BO30" s="8"/>
      <c r="BP30" s="8"/>
      <c r="BQ30" s="8"/>
      <c r="BR30" s="13"/>
      <c r="BS30" s="238"/>
      <c r="BT30" s="12"/>
      <c r="BU30" s="8"/>
      <c r="BV30" s="8"/>
      <c r="BW30" s="8"/>
      <c r="BX30" s="8"/>
      <c r="BY30" s="8"/>
      <c r="BZ30" s="8"/>
      <c r="CA30" s="8"/>
      <c r="CB30" s="12"/>
      <c r="CC30" s="8"/>
      <c r="CD30" s="8"/>
      <c r="CE30" s="8"/>
      <c r="CF30" s="8"/>
      <c r="CG30" s="8"/>
      <c r="CH30" s="8"/>
      <c r="CI30" s="238"/>
      <c r="CJ30" s="12"/>
      <c r="CK30" s="8"/>
      <c r="CL30" s="8"/>
      <c r="CM30" s="8"/>
      <c r="CN30" s="8"/>
      <c r="CO30" s="8"/>
      <c r="CP30" s="8"/>
      <c r="CQ30" s="8"/>
      <c r="CR30" s="12"/>
      <c r="CS30" s="8"/>
      <c r="CT30" s="8"/>
      <c r="CU30" s="8"/>
      <c r="CV30" s="8"/>
      <c r="CW30" s="8"/>
      <c r="CX30" s="8"/>
      <c r="CY30" s="238"/>
      <c r="CZ30" s="12"/>
      <c r="DA30" s="8"/>
      <c r="DB30" s="8"/>
      <c r="DC30" s="8"/>
      <c r="DD30" s="8"/>
      <c r="DE30" s="8"/>
      <c r="DF30" s="8"/>
      <c r="DG30" s="8"/>
      <c r="DH30" s="12"/>
      <c r="DI30" s="8"/>
      <c r="DJ30" s="8"/>
      <c r="DK30" s="8"/>
      <c r="DL30" s="8"/>
      <c r="DM30" s="8"/>
      <c r="DN30" s="8"/>
      <c r="DO30" s="238"/>
      <c r="DP30" s="12"/>
      <c r="DQ30" s="8"/>
      <c r="DR30" s="8"/>
      <c r="DS30" s="8"/>
      <c r="DT30" s="8"/>
      <c r="DU30" s="8"/>
      <c r="DV30" s="8"/>
      <c r="DW30" s="8"/>
      <c r="DX30" s="12"/>
      <c r="DY30" s="8"/>
      <c r="DZ30" s="8"/>
      <c r="EA30" s="8"/>
      <c r="EB30" s="8"/>
      <c r="EC30" s="8"/>
      <c r="ED30" s="8"/>
      <c r="EE30" s="238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238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238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238"/>
      <c r="FP30" s="12"/>
      <c r="FQ30" s="12"/>
      <c r="FR30" s="12"/>
      <c r="FS30" s="12"/>
      <c r="FT30" s="12"/>
      <c r="FU30" s="238"/>
      <c r="FV30" s="12"/>
      <c r="FW30" s="12"/>
      <c r="FX30" s="12"/>
      <c r="FY30" s="12"/>
      <c r="FZ30" s="12"/>
      <c r="GA30" s="120"/>
      <c r="GB30" s="118" t="str">
        <f t="shared" si="0"/>
        <v/>
      </c>
      <c r="GC30" s="139" t="str">
        <f t="shared" si="1"/>
        <v/>
      </c>
      <c r="GD30" s="118">
        <f t="shared" si="2"/>
        <v>0</v>
      </c>
      <c r="GE30" s="118">
        <f t="shared" si="3"/>
        <v>0</v>
      </c>
      <c r="GF30" s="118">
        <f t="shared" si="4"/>
        <v>0</v>
      </c>
      <c r="GG30" s="118">
        <f t="shared" si="5"/>
        <v>0</v>
      </c>
      <c r="GH30" s="118">
        <f t="shared" si="6"/>
        <v>0</v>
      </c>
      <c r="GI30" s="118">
        <f t="shared" si="7"/>
        <v>0</v>
      </c>
      <c r="GJ30" s="118">
        <f t="shared" si="8"/>
        <v>0</v>
      </c>
      <c r="GK30" s="118">
        <f t="shared" si="9"/>
        <v>0</v>
      </c>
      <c r="GL30" s="118">
        <f t="shared" si="10"/>
        <v>0</v>
      </c>
      <c r="GM30" s="118">
        <f t="shared" si="11"/>
        <v>0</v>
      </c>
      <c r="GN30" s="118">
        <f t="shared" si="12"/>
        <v>0</v>
      </c>
      <c r="GO30" s="118">
        <f t="shared" si="13"/>
        <v>0</v>
      </c>
      <c r="GP30" s="118">
        <f t="shared" si="14"/>
        <v>0</v>
      </c>
      <c r="GQ30" s="118">
        <f t="shared" si="15"/>
        <v>0</v>
      </c>
      <c r="GR30" s="118">
        <f t="shared" si="16"/>
        <v>0</v>
      </c>
      <c r="GS30" s="121">
        <f t="shared" si="17"/>
        <v>0</v>
      </c>
      <c r="GT30"/>
      <c r="GU30"/>
      <c r="GV30"/>
      <c r="GW30"/>
      <c r="GX30" s="118"/>
      <c r="GY30" s="118"/>
      <c r="GZ30" s="118"/>
      <c r="HA30" s="118"/>
      <c r="HB30" s="118"/>
      <c r="HC30" s="118"/>
      <c r="HD30" s="118"/>
      <c r="HE30" s="118"/>
      <c r="HF30" s="118"/>
      <c r="HG30" s="118"/>
      <c r="HH30" s="118"/>
      <c r="HI30" s="118"/>
      <c r="HJ30" s="118"/>
      <c r="HK30" s="118"/>
      <c r="HL30" s="118"/>
    </row>
    <row r="31" spans="1:220" s="74" customFormat="1" ht="30" hidden="1" customHeight="1" x14ac:dyDescent="0.35">
      <c r="A31" s="119">
        <v>22</v>
      </c>
      <c r="B31" s="4"/>
      <c r="C31" s="7"/>
      <c r="D31" s="4"/>
      <c r="E31" s="246"/>
      <c r="F31" s="10"/>
      <c r="G31" s="10"/>
      <c r="H31" s="10"/>
      <c r="I31" s="10"/>
      <c r="J31" s="10"/>
      <c r="K31" s="10"/>
      <c r="L31" s="10"/>
      <c r="M31" s="10"/>
      <c r="N31" s="10"/>
      <c r="O31" s="11"/>
      <c r="P31" s="238"/>
      <c r="Q31" s="14"/>
      <c r="R31" s="10"/>
      <c r="S31" s="10"/>
      <c r="T31" s="10"/>
      <c r="U31" s="10"/>
      <c r="V31" s="10"/>
      <c r="W31" s="10"/>
      <c r="X31" s="10"/>
      <c r="Y31" s="10"/>
      <c r="Z31" s="15"/>
      <c r="AA31" s="238"/>
      <c r="AB31" s="14"/>
      <c r="AC31" s="10"/>
      <c r="AD31" s="10"/>
      <c r="AE31" s="10"/>
      <c r="AF31" s="10"/>
      <c r="AG31" s="10"/>
      <c r="AH31" s="10"/>
      <c r="AI31" s="10"/>
      <c r="AJ31" s="10"/>
      <c r="AK31" s="15"/>
      <c r="AL31" s="238"/>
      <c r="AM31" s="14"/>
      <c r="AN31" s="10"/>
      <c r="AO31" s="10"/>
      <c r="AP31" s="10"/>
      <c r="AQ31" s="10"/>
      <c r="AR31" s="10"/>
      <c r="AS31" s="10"/>
      <c r="AT31" s="10"/>
      <c r="AU31" s="10"/>
      <c r="AV31" s="15"/>
      <c r="AW31" s="238"/>
      <c r="AX31" s="14"/>
      <c r="AY31" s="10"/>
      <c r="AZ31" s="10"/>
      <c r="BA31" s="10"/>
      <c r="BB31" s="10"/>
      <c r="BC31" s="10"/>
      <c r="BD31" s="10"/>
      <c r="BE31" s="10"/>
      <c r="BF31" s="10"/>
      <c r="BG31" s="15"/>
      <c r="BH31" s="238"/>
      <c r="BI31" s="14"/>
      <c r="BJ31" s="10"/>
      <c r="BK31" s="10"/>
      <c r="BL31" s="10"/>
      <c r="BM31" s="10"/>
      <c r="BN31" s="10"/>
      <c r="BO31" s="10"/>
      <c r="BP31" s="10"/>
      <c r="BQ31" s="10"/>
      <c r="BR31" s="15"/>
      <c r="BS31" s="238"/>
      <c r="BT31" s="14"/>
      <c r="BU31" s="10"/>
      <c r="BV31" s="10"/>
      <c r="BW31" s="10"/>
      <c r="BX31" s="10"/>
      <c r="BY31" s="10"/>
      <c r="BZ31" s="10"/>
      <c r="CA31" s="10"/>
      <c r="CB31" s="14"/>
      <c r="CC31" s="10"/>
      <c r="CD31" s="10"/>
      <c r="CE31" s="10"/>
      <c r="CF31" s="10"/>
      <c r="CG31" s="10"/>
      <c r="CH31" s="10"/>
      <c r="CI31" s="238"/>
      <c r="CJ31" s="14"/>
      <c r="CK31" s="10"/>
      <c r="CL31" s="10"/>
      <c r="CM31" s="10"/>
      <c r="CN31" s="10"/>
      <c r="CO31" s="10"/>
      <c r="CP31" s="10"/>
      <c r="CQ31" s="10"/>
      <c r="CR31" s="14"/>
      <c r="CS31" s="10"/>
      <c r="CT31" s="10"/>
      <c r="CU31" s="10"/>
      <c r="CV31" s="10"/>
      <c r="CW31" s="10"/>
      <c r="CX31" s="10"/>
      <c r="CY31" s="238"/>
      <c r="CZ31" s="14"/>
      <c r="DA31" s="10"/>
      <c r="DB31" s="10"/>
      <c r="DC31" s="10"/>
      <c r="DD31" s="10"/>
      <c r="DE31" s="10"/>
      <c r="DF31" s="10"/>
      <c r="DG31" s="10"/>
      <c r="DH31" s="14"/>
      <c r="DI31" s="10"/>
      <c r="DJ31" s="10"/>
      <c r="DK31" s="10"/>
      <c r="DL31" s="10"/>
      <c r="DM31" s="10"/>
      <c r="DN31" s="10"/>
      <c r="DO31" s="238"/>
      <c r="DP31" s="14"/>
      <c r="DQ31" s="10"/>
      <c r="DR31" s="10"/>
      <c r="DS31" s="10"/>
      <c r="DT31" s="10"/>
      <c r="DU31" s="10"/>
      <c r="DV31" s="10"/>
      <c r="DW31" s="10"/>
      <c r="DX31" s="14"/>
      <c r="DY31" s="10"/>
      <c r="DZ31" s="10"/>
      <c r="EA31" s="10"/>
      <c r="EB31" s="10"/>
      <c r="EC31" s="10"/>
      <c r="ED31" s="10"/>
      <c r="EE31" s="238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238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238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238"/>
      <c r="FP31" s="14"/>
      <c r="FQ31" s="14"/>
      <c r="FR31" s="14"/>
      <c r="FS31" s="14"/>
      <c r="FT31" s="14"/>
      <c r="FU31" s="238"/>
      <c r="FV31" s="14"/>
      <c r="FW31" s="14"/>
      <c r="FX31" s="14"/>
      <c r="FY31" s="14"/>
      <c r="FZ31" s="14"/>
      <c r="GA31" s="120"/>
      <c r="GB31" s="122" t="str">
        <f t="shared" si="0"/>
        <v/>
      </c>
      <c r="GC31" s="140" t="str">
        <f t="shared" si="1"/>
        <v/>
      </c>
      <c r="GD31" s="122">
        <f t="shared" si="2"/>
        <v>0</v>
      </c>
      <c r="GE31" s="122">
        <f t="shared" si="3"/>
        <v>0</v>
      </c>
      <c r="GF31" s="122">
        <f t="shared" si="4"/>
        <v>0</v>
      </c>
      <c r="GG31" s="122">
        <f t="shared" si="5"/>
        <v>0</v>
      </c>
      <c r="GH31" s="122">
        <f t="shared" si="6"/>
        <v>0</v>
      </c>
      <c r="GI31" s="122">
        <f t="shared" si="7"/>
        <v>0</v>
      </c>
      <c r="GJ31" s="122">
        <f t="shared" si="8"/>
        <v>0</v>
      </c>
      <c r="GK31" s="122">
        <f t="shared" si="9"/>
        <v>0</v>
      </c>
      <c r="GL31" s="122">
        <f t="shared" si="10"/>
        <v>0</v>
      </c>
      <c r="GM31" s="122">
        <f t="shared" si="11"/>
        <v>0</v>
      </c>
      <c r="GN31" s="122">
        <f t="shared" si="12"/>
        <v>0</v>
      </c>
      <c r="GO31" s="122">
        <f t="shared" si="13"/>
        <v>0</v>
      </c>
      <c r="GP31" s="122">
        <f t="shared" si="14"/>
        <v>0</v>
      </c>
      <c r="GQ31" s="122">
        <f t="shared" si="15"/>
        <v>0</v>
      </c>
      <c r="GR31" s="122">
        <f t="shared" si="16"/>
        <v>0</v>
      </c>
      <c r="GS31" s="123">
        <f t="shared" si="17"/>
        <v>0</v>
      </c>
      <c r="GT31"/>
      <c r="GU31"/>
      <c r="GV31"/>
      <c r="GW31"/>
      <c r="GX31" s="118"/>
      <c r="GY31" s="118"/>
      <c r="GZ31" s="118"/>
      <c r="HA31" s="118"/>
      <c r="HB31" s="118"/>
      <c r="HC31" s="118"/>
      <c r="HD31" s="118"/>
      <c r="HE31" s="118"/>
      <c r="HF31" s="118"/>
      <c r="HG31" s="118"/>
      <c r="HH31" s="118"/>
      <c r="HI31" s="118"/>
      <c r="HJ31" s="118"/>
      <c r="HK31" s="118"/>
      <c r="HL31" s="118"/>
    </row>
    <row r="32" spans="1:220" s="74" customFormat="1" ht="30" hidden="1" customHeight="1" x14ac:dyDescent="0.35">
      <c r="A32" s="119">
        <v>23</v>
      </c>
      <c r="B32" s="3"/>
      <c r="C32" s="6"/>
      <c r="D32" s="3"/>
      <c r="E32" s="246"/>
      <c r="F32" s="8"/>
      <c r="G32" s="8"/>
      <c r="H32" s="8"/>
      <c r="I32" s="8"/>
      <c r="J32" s="8"/>
      <c r="K32" s="8"/>
      <c r="L32" s="8"/>
      <c r="M32" s="8"/>
      <c r="N32" s="8"/>
      <c r="O32" s="9"/>
      <c r="P32" s="238"/>
      <c r="Q32" s="12"/>
      <c r="R32" s="8"/>
      <c r="S32" s="8"/>
      <c r="T32" s="8"/>
      <c r="U32" s="8"/>
      <c r="V32" s="8"/>
      <c r="W32" s="8"/>
      <c r="X32" s="8"/>
      <c r="Y32" s="8"/>
      <c r="Z32" s="13"/>
      <c r="AA32" s="238"/>
      <c r="AB32" s="12"/>
      <c r="AC32" s="8"/>
      <c r="AD32" s="8"/>
      <c r="AE32" s="8"/>
      <c r="AF32" s="8"/>
      <c r="AG32" s="8"/>
      <c r="AH32" s="8"/>
      <c r="AI32" s="8"/>
      <c r="AJ32" s="8"/>
      <c r="AK32" s="13"/>
      <c r="AL32" s="238"/>
      <c r="AM32" s="12"/>
      <c r="AN32" s="8"/>
      <c r="AO32" s="8"/>
      <c r="AP32" s="8"/>
      <c r="AQ32" s="8"/>
      <c r="AR32" s="8"/>
      <c r="AS32" s="8"/>
      <c r="AT32" s="8"/>
      <c r="AU32" s="8"/>
      <c r="AV32" s="13"/>
      <c r="AW32" s="238"/>
      <c r="AX32" s="12"/>
      <c r="AY32" s="8"/>
      <c r="AZ32" s="8"/>
      <c r="BA32" s="8"/>
      <c r="BB32" s="8"/>
      <c r="BC32" s="8"/>
      <c r="BD32" s="8"/>
      <c r="BE32" s="8"/>
      <c r="BF32" s="8"/>
      <c r="BG32" s="13"/>
      <c r="BH32" s="238"/>
      <c r="BI32" s="12"/>
      <c r="BJ32" s="8"/>
      <c r="BK32" s="8"/>
      <c r="BL32" s="8"/>
      <c r="BM32" s="8"/>
      <c r="BN32" s="8"/>
      <c r="BO32" s="8"/>
      <c r="BP32" s="8"/>
      <c r="BQ32" s="8"/>
      <c r="BR32" s="13"/>
      <c r="BS32" s="238"/>
      <c r="BT32" s="12"/>
      <c r="BU32" s="8"/>
      <c r="BV32" s="8"/>
      <c r="BW32" s="8"/>
      <c r="BX32" s="8"/>
      <c r="BY32" s="8"/>
      <c r="BZ32" s="8"/>
      <c r="CA32" s="8"/>
      <c r="CB32" s="12"/>
      <c r="CC32" s="8"/>
      <c r="CD32" s="8"/>
      <c r="CE32" s="8"/>
      <c r="CF32" s="8"/>
      <c r="CG32" s="8"/>
      <c r="CH32" s="8"/>
      <c r="CI32" s="238"/>
      <c r="CJ32" s="12"/>
      <c r="CK32" s="8"/>
      <c r="CL32" s="8"/>
      <c r="CM32" s="8"/>
      <c r="CN32" s="8"/>
      <c r="CO32" s="8"/>
      <c r="CP32" s="8"/>
      <c r="CQ32" s="8"/>
      <c r="CR32" s="12"/>
      <c r="CS32" s="8"/>
      <c r="CT32" s="8"/>
      <c r="CU32" s="8"/>
      <c r="CV32" s="8"/>
      <c r="CW32" s="8"/>
      <c r="CX32" s="8"/>
      <c r="CY32" s="238"/>
      <c r="CZ32" s="12"/>
      <c r="DA32" s="8"/>
      <c r="DB32" s="8"/>
      <c r="DC32" s="8"/>
      <c r="DD32" s="8"/>
      <c r="DE32" s="8"/>
      <c r="DF32" s="8"/>
      <c r="DG32" s="8"/>
      <c r="DH32" s="12"/>
      <c r="DI32" s="8"/>
      <c r="DJ32" s="8"/>
      <c r="DK32" s="8"/>
      <c r="DL32" s="8"/>
      <c r="DM32" s="8"/>
      <c r="DN32" s="8"/>
      <c r="DO32" s="238"/>
      <c r="DP32" s="12"/>
      <c r="DQ32" s="8"/>
      <c r="DR32" s="8"/>
      <c r="DS32" s="8"/>
      <c r="DT32" s="8"/>
      <c r="DU32" s="8"/>
      <c r="DV32" s="8"/>
      <c r="DW32" s="8"/>
      <c r="DX32" s="12"/>
      <c r="DY32" s="8"/>
      <c r="DZ32" s="8"/>
      <c r="EA32" s="8"/>
      <c r="EB32" s="8"/>
      <c r="EC32" s="8"/>
      <c r="ED32" s="8"/>
      <c r="EE32" s="238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238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238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238"/>
      <c r="FP32" s="12"/>
      <c r="FQ32" s="12"/>
      <c r="FR32" s="12"/>
      <c r="FS32" s="12"/>
      <c r="FT32" s="12"/>
      <c r="FU32" s="238"/>
      <c r="FV32" s="12"/>
      <c r="FW32" s="12"/>
      <c r="FX32" s="12"/>
      <c r="FY32" s="12"/>
      <c r="FZ32" s="12"/>
      <c r="GA32" s="120"/>
      <c r="GB32" s="118" t="str">
        <f t="shared" si="0"/>
        <v/>
      </c>
      <c r="GC32" s="139" t="str">
        <f t="shared" si="1"/>
        <v/>
      </c>
      <c r="GD32" s="118">
        <f t="shared" si="2"/>
        <v>0</v>
      </c>
      <c r="GE32" s="118">
        <f t="shared" si="3"/>
        <v>0</v>
      </c>
      <c r="GF32" s="118">
        <f t="shared" si="4"/>
        <v>0</v>
      </c>
      <c r="GG32" s="118">
        <f t="shared" si="5"/>
        <v>0</v>
      </c>
      <c r="GH32" s="118">
        <f t="shared" si="6"/>
        <v>0</v>
      </c>
      <c r="GI32" s="118">
        <f t="shared" si="7"/>
        <v>0</v>
      </c>
      <c r="GJ32" s="118">
        <f t="shared" si="8"/>
        <v>0</v>
      </c>
      <c r="GK32" s="118">
        <f t="shared" si="9"/>
        <v>0</v>
      </c>
      <c r="GL32" s="118">
        <f t="shared" si="10"/>
        <v>0</v>
      </c>
      <c r="GM32" s="118">
        <f t="shared" si="11"/>
        <v>0</v>
      </c>
      <c r="GN32" s="118">
        <f t="shared" si="12"/>
        <v>0</v>
      </c>
      <c r="GO32" s="118">
        <f t="shared" si="13"/>
        <v>0</v>
      </c>
      <c r="GP32" s="118">
        <f t="shared" si="14"/>
        <v>0</v>
      </c>
      <c r="GQ32" s="118">
        <f t="shared" si="15"/>
        <v>0</v>
      </c>
      <c r="GR32" s="118">
        <f t="shared" si="16"/>
        <v>0</v>
      </c>
      <c r="GS32" s="121">
        <f t="shared" si="17"/>
        <v>0</v>
      </c>
      <c r="GT32"/>
      <c r="GU32"/>
      <c r="GV32"/>
      <c r="GW32"/>
      <c r="GX32" s="118"/>
      <c r="GY32" s="118"/>
      <c r="GZ32" s="118"/>
      <c r="HA32" s="118"/>
      <c r="HB32" s="118"/>
      <c r="HC32" s="118"/>
      <c r="HD32" s="118"/>
      <c r="HE32" s="118"/>
      <c r="HF32" s="118"/>
      <c r="HG32" s="118"/>
      <c r="HH32" s="118"/>
      <c r="HI32" s="118"/>
      <c r="HJ32" s="118"/>
      <c r="HK32" s="118"/>
      <c r="HL32" s="118"/>
    </row>
    <row r="33" spans="1:220" s="74" customFormat="1" ht="30" hidden="1" customHeight="1" x14ac:dyDescent="0.35">
      <c r="A33" s="119">
        <v>24</v>
      </c>
      <c r="B33" s="4"/>
      <c r="C33" s="7"/>
      <c r="D33" s="4"/>
      <c r="E33" s="246"/>
      <c r="F33" s="10"/>
      <c r="G33" s="10"/>
      <c r="H33" s="10"/>
      <c r="I33" s="10"/>
      <c r="J33" s="10"/>
      <c r="K33" s="10"/>
      <c r="L33" s="10"/>
      <c r="M33" s="10"/>
      <c r="N33" s="10"/>
      <c r="O33" s="11"/>
      <c r="P33" s="238"/>
      <c r="Q33" s="14"/>
      <c r="R33" s="10"/>
      <c r="S33" s="10"/>
      <c r="T33" s="10"/>
      <c r="U33" s="10"/>
      <c r="V33" s="10"/>
      <c r="W33" s="10"/>
      <c r="X33" s="10"/>
      <c r="Y33" s="10"/>
      <c r="Z33" s="15"/>
      <c r="AA33" s="238"/>
      <c r="AB33" s="14"/>
      <c r="AC33" s="10"/>
      <c r="AD33" s="10"/>
      <c r="AE33" s="10"/>
      <c r="AF33" s="10"/>
      <c r="AG33" s="10"/>
      <c r="AH33" s="10"/>
      <c r="AI33" s="10"/>
      <c r="AJ33" s="10"/>
      <c r="AK33" s="15"/>
      <c r="AL33" s="238"/>
      <c r="AM33" s="14"/>
      <c r="AN33" s="10"/>
      <c r="AO33" s="10"/>
      <c r="AP33" s="10"/>
      <c r="AQ33" s="10"/>
      <c r="AR33" s="10"/>
      <c r="AS33" s="10"/>
      <c r="AT33" s="10"/>
      <c r="AU33" s="10"/>
      <c r="AV33" s="15"/>
      <c r="AW33" s="238"/>
      <c r="AX33" s="14"/>
      <c r="AY33" s="10"/>
      <c r="AZ33" s="10"/>
      <c r="BA33" s="10"/>
      <c r="BB33" s="10"/>
      <c r="BC33" s="10"/>
      <c r="BD33" s="10"/>
      <c r="BE33" s="10"/>
      <c r="BF33" s="10"/>
      <c r="BG33" s="15"/>
      <c r="BH33" s="238"/>
      <c r="BI33" s="14"/>
      <c r="BJ33" s="10"/>
      <c r="BK33" s="10"/>
      <c r="BL33" s="10"/>
      <c r="BM33" s="10"/>
      <c r="BN33" s="10"/>
      <c r="BO33" s="10"/>
      <c r="BP33" s="10"/>
      <c r="BQ33" s="10"/>
      <c r="BR33" s="15"/>
      <c r="BS33" s="238"/>
      <c r="BT33" s="14"/>
      <c r="BU33" s="10"/>
      <c r="BV33" s="10"/>
      <c r="BW33" s="10"/>
      <c r="BX33" s="10"/>
      <c r="BY33" s="10"/>
      <c r="BZ33" s="10"/>
      <c r="CA33" s="10"/>
      <c r="CB33" s="14"/>
      <c r="CC33" s="10"/>
      <c r="CD33" s="10"/>
      <c r="CE33" s="10"/>
      <c r="CF33" s="10"/>
      <c r="CG33" s="10"/>
      <c r="CH33" s="10"/>
      <c r="CI33" s="238"/>
      <c r="CJ33" s="14"/>
      <c r="CK33" s="10"/>
      <c r="CL33" s="10"/>
      <c r="CM33" s="10"/>
      <c r="CN33" s="10"/>
      <c r="CO33" s="10"/>
      <c r="CP33" s="10"/>
      <c r="CQ33" s="10"/>
      <c r="CR33" s="14"/>
      <c r="CS33" s="10"/>
      <c r="CT33" s="10"/>
      <c r="CU33" s="10"/>
      <c r="CV33" s="10"/>
      <c r="CW33" s="10"/>
      <c r="CX33" s="10"/>
      <c r="CY33" s="238"/>
      <c r="CZ33" s="14"/>
      <c r="DA33" s="10"/>
      <c r="DB33" s="10"/>
      <c r="DC33" s="10"/>
      <c r="DD33" s="10"/>
      <c r="DE33" s="10"/>
      <c r="DF33" s="10"/>
      <c r="DG33" s="10"/>
      <c r="DH33" s="14"/>
      <c r="DI33" s="10"/>
      <c r="DJ33" s="10"/>
      <c r="DK33" s="10"/>
      <c r="DL33" s="10"/>
      <c r="DM33" s="10"/>
      <c r="DN33" s="10"/>
      <c r="DO33" s="238"/>
      <c r="DP33" s="14"/>
      <c r="DQ33" s="10"/>
      <c r="DR33" s="10"/>
      <c r="DS33" s="10"/>
      <c r="DT33" s="10"/>
      <c r="DU33" s="10"/>
      <c r="DV33" s="10"/>
      <c r="DW33" s="10"/>
      <c r="DX33" s="14"/>
      <c r="DY33" s="10"/>
      <c r="DZ33" s="10"/>
      <c r="EA33" s="10"/>
      <c r="EB33" s="10"/>
      <c r="EC33" s="10"/>
      <c r="ED33" s="10"/>
      <c r="EE33" s="238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238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238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238"/>
      <c r="FP33" s="14"/>
      <c r="FQ33" s="14"/>
      <c r="FR33" s="14"/>
      <c r="FS33" s="14"/>
      <c r="FT33" s="14"/>
      <c r="FU33" s="238"/>
      <c r="FV33" s="14"/>
      <c r="FW33" s="14"/>
      <c r="FX33" s="14"/>
      <c r="FY33" s="14"/>
      <c r="FZ33" s="14"/>
      <c r="GA33" s="120"/>
      <c r="GB33" s="122" t="str">
        <f t="shared" si="0"/>
        <v/>
      </c>
      <c r="GC33" s="140" t="str">
        <f t="shared" si="1"/>
        <v/>
      </c>
      <c r="GD33" s="122">
        <f t="shared" si="2"/>
        <v>0</v>
      </c>
      <c r="GE33" s="122">
        <f t="shared" si="3"/>
        <v>0</v>
      </c>
      <c r="GF33" s="122">
        <f t="shared" si="4"/>
        <v>0</v>
      </c>
      <c r="GG33" s="122">
        <f t="shared" si="5"/>
        <v>0</v>
      </c>
      <c r="GH33" s="122">
        <f t="shared" si="6"/>
        <v>0</v>
      </c>
      <c r="GI33" s="122">
        <f t="shared" si="7"/>
        <v>0</v>
      </c>
      <c r="GJ33" s="122">
        <f t="shared" si="8"/>
        <v>0</v>
      </c>
      <c r="GK33" s="122">
        <f t="shared" si="9"/>
        <v>0</v>
      </c>
      <c r="GL33" s="122">
        <f t="shared" si="10"/>
        <v>0</v>
      </c>
      <c r="GM33" s="122">
        <f t="shared" si="11"/>
        <v>0</v>
      </c>
      <c r="GN33" s="122">
        <f t="shared" si="12"/>
        <v>0</v>
      </c>
      <c r="GO33" s="122">
        <f t="shared" si="13"/>
        <v>0</v>
      </c>
      <c r="GP33" s="122">
        <f t="shared" si="14"/>
        <v>0</v>
      </c>
      <c r="GQ33" s="122">
        <f t="shared" si="15"/>
        <v>0</v>
      </c>
      <c r="GR33" s="122">
        <f t="shared" si="16"/>
        <v>0</v>
      </c>
      <c r="GS33" s="123">
        <f t="shared" si="17"/>
        <v>0</v>
      </c>
      <c r="GT33"/>
      <c r="GU33"/>
      <c r="GV33"/>
      <c r="GW33"/>
      <c r="GX33" s="118"/>
      <c r="GY33" s="118"/>
      <c r="GZ33" s="118"/>
      <c r="HA33" s="118"/>
      <c r="HB33" s="118"/>
      <c r="HC33" s="118"/>
      <c r="HD33" s="118"/>
      <c r="HE33" s="118"/>
      <c r="HF33" s="118"/>
      <c r="HG33" s="118"/>
      <c r="HH33" s="118"/>
      <c r="HI33" s="118"/>
      <c r="HJ33" s="118"/>
      <c r="HK33" s="118"/>
      <c r="HL33" s="118"/>
    </row>
    <row r="34" spans="1:220" s="74" customFormat="1" ht="30" hidden="1" customHeight="1" x14ac:dyDescent="0.35">
      <c r="A34" s="119">
        <v>25</v>
      </c>
      <c r="B34" s="3"/>
      <c r="C34" s="6"/>
      <c r="D34" s="3"/>
      <c r="E34" s="246"/>
      <c r="F34" s="8"/>
      <c r="G34" s="8"/>
      <c r="H34" s="8"/>
      <c r="I34" s="8"/>
      <c r="J34" s="8"/>
      <c r="K34" s="8"/>
      <c r="L34" s="8"/>
      <c r="M34" s="8"/>
      <c r="N34" s="8"/>
      <c r="O34" s="9"/>
      <c r="P34" s="238"/>
      <c r="Q34" s="12"/>
      <c r="R34" s="8"/>
      <c r="S34" s="8"/>
      <c r="T34" s="8"/>
      <c r="U34" s="8"/>
      <c r="V34" s="8"/>
      <c r="W34" s="8"/>
      <c r="X34" s="8"/>
      <c r="Y34" s="8"/>
      <c r="Z34" s="13"/>
      <c r="AA34" s="238"/>
      <c r="AB34" s="12"/>
      <c r="AC34" s="8"/>
      <c r="AD34" s="8"/>
      <c r="AE34" s="8"/>
      <c r="AF34" s="8"/>
      <c r="AG34" s="8"/>
      <c r="AH34" s="8"/>
      <c r="AI34" s="8"/>
      <c r="AJ34" s="8"/>
      <c r="AK34" s="13"/>
      <c r="AL34" s="238"/>
      <c r="AM34" s="12"/>
      <c r="AN34" s="8"/>
      <c r="AO34" s="8"/>
      <c r="AP34" s="8"/>
      <c r="AQ34" s="8"/>
      <c r="AR34" s="8"/>
      <c r="AS34" s="8"/>
      <c r="AT34" s="8"/>
      <c r="AU34" s="8"/>
      <c r="AV34" s="13"/>
      <c r="AW34" s="238"/>
      <c r="AX34" s="12"/>
      <c r="AY34" s="8"/>
      <c r="AZ34" s="8"/>
      <c r="BA34" s="8"/>
      <c r="BB34" s="8"/>
      <c r="BC34" s="8"/>
      <c r="BD34" s="8"/>
      <c r="BE34" s="8"/>
      <c r="BF34" s="8"/>
      <c r="BG34" s="13"/>
      <c r="BH34" s="238"/>
      <c r="BI34" s="12"/>
      <c r="BJ34" s="8"/>
      <c r="BK34" s="8"/>
      <c r="BL34" s="8"/>
      <c r="BM34" s="8"/>
      <c r="BN34" s="8"/>
      <c r="BO34" s="8"/>
      <c r="BP34" s="8"/>
      <c r="BQ34" s="8"/>
      <c r="BR34" s="13"/>
      <c r="BS34" s="238"/>
      <c r="BT34" s="12"/>
      <c r="BU34" s="8"/>
      <c r="BV34" s="8"/>
      <c r="BW34" s="8"/>
      <c r="BX34" s="8"/>
      <c r="BY34" s="8"/>
      <c r="BZ34" s="8"/>
      <c r="CA34" s="8"/>
      <c r="CB34" s="12"/>
      <c r="CC34" s="8"/>
      <c r="CD34" s="8"/>
      <c r="CE34" s="8"/>
      <c r="CF34" s="8"/>
      <c r="CG34" s="8"/>
      <c r="CH34" s="8"/>
      <c r="CI34" s="238"/>
      <c r="CJ34" s="12"/>
      <c r="CK34" s="8"/>
      <c r="CL34" s="8"/>
      <c r="CM34" s="8"/>
      <c r="CN34" s="8"/>
      <c r="CO34" s="8"/>
      <c r="CP34" s="8"/>
      <c r="CQ34" s="8"/>
      <c r="CR34" s="12"/>
      <c r="CS34" s="8"/>
      <c r="CT34" s="8"/>
      <c r="CU34" s="8"/>
      <c r="CV34" s="8"/>
      <c r="CW34" s="8"/>
      <c r="CX34" s="8"/>
      <c r="CY34" s="238"/>
      <c r="CZ34" s="12"/>
      <c r="DA34" s="8"/>
      <c r="DB34" s="8"/>
      <c r="DC34" s="8"/>
      <c r="DD34" s="8"/>
      <c r="DE34" s="8"/>
      <c r="DF34" s="8"/>
      <c r="DG34" s="8"/>
      <c r="DH34" s="12"/>
      <c r="DI34" s="8"/>
      <c r="DJ34" s="8"/>
      <c r="DK34" s="8"/>
      <c r="DL34" s="8"/>
      <c r="DM34" s="8"/>
      <c r="DN34" s="8"/>
      <c r="DO34" s="238"/>
      <c r="DP34" s="12"/>
      <c r="DQ34" s="8"/>
      <c r="DR34" s="8"/>
      <c r="DS34" s="8"/>
      <c r="DT34" s="8"/>
      <c r="DU34" s="8"/>
      <c r="DV34" s="8"/>
      <c r="DW34" s="8"/>
      <c r="DX34" s="12"/>
      <c r="DY34" s="8"/>
      <c r="DZ34" s="8"/>
      <c r="EA34" s="8"/>
      <c r="EB34" s="8"/>
      <c r="EC34" s="8"/>
      <c r="ED34" s="8"/>
      <c r="EE34" s="238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238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238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238"/>
      <c r="FP34" s="12"/>
      <c r="FQ34" s="12"/>
      <c r="FR34" s="12"/>
      <c r="FS34" s="12"/>
      <c r="FT34" s="12"/>
      <c r="FU34" s="238"/>
      <c r="FV34" s="12"/>
      <c r="FW34" s="12"/>
      <c r="FX34" s="12"/>
      <c r="FY34" s="12"/>
      <c r="FZ34" s="12"/>
      <c r="GA34" s="120"/>
      <c r="GB34" s="118" t="str">
        <f t="shared" si="0"/>
        <v/>
      </c>
      <c r="GC34" s="139" t="str">
        <f t="shared" si="1"/>
        <v/>
      </c>
      <c r="GD34" s="118">
        <f t="shared" si="2"/>
        <v>0</v>
      </c>
      <c r="GE34" s="118">
        <f t="shared" si="3"/>
        <v>0</v>
      </c>
      <c r="GF34" s="118">
        <f t="shared" si="4"/>
        <v>0</v>
      </c>
      <c r="GG34" s="118">
        <f t="shared" si="5"/>
        <v>0</v>
      </c>
      <c r="GH34" s="118">
        <f t="shared" si="6"/>
        <v>0</v>
      </c>
      <c r="GI34" s="118">
        <f t="shared" si="7"/>
        <v>0</v>
      </c>
      <c r="GJ34" s="118">
        <f t="shared" si="8"/>
        <v>0</v>
      </c>
      <c r="GK34" s="118">
        <f t="shared" si="9"/>
        <v>0</v>
      </c>
      <c r="GL34" s="118">
        <f t="shared" si="10"/>
        <v>0</v>
      </c>
      <c r="GM34" s="118">
        <f t="shared" si="11"/>
        <v>0</v>
      </c>
      <c r="GN34" s="118">
        <f t="shared" si="12"/>
        <v>0</v>
      </c>
      <c r="GO34" s="118">
        <f t="shared" si="13"/>
        <v>0</v>
      </c>
      <c r="GP34" s="118">
        <f t="shared" si="14"/>
        <v>0</v>
      </c>
      <c r="GQ34" s="118">
        <f t="shared" si="15"/>
        <v>0</v>
      </c>
      <c r="GR34" s="118">
        <f t="shared" si="16"/>
        <v>0</v>
      </c>
      <c r="GS34" s="121">
        <f t="shared" si="17"/>
        <v>0</v>
      </c>
      <c r="GT34"/>
      <c r="GU34"/>
      <c r="GV34"/>
      <c r="GW34"/>
      <c r="GX34" s="118"/>
      <c r="GY34" s="118"/>
      <c r="GZ34" s="118"/>
      <c r="HA34" s="118"/>
      <c r="HB34" s="118"/>
      <c r="HC34" s="118"/>
      <c r="HD34" s="118"/>
      <c r="HE34" s="118"/>
      <c r="HF34" s="118"/>
      <c r="HG34" s="118"/>
      <c r="HH34" s="118"/>
      <c r="HI34" s="118"/>
      <c r="HJ34" s="118"/>
      <c r="HK34" s="118"/>
      <c r="HL34" s="118"/>
    </row>
    <row r="35" spans="1:220" s="74" customFormat="1" ht="30" hidden="1" customHeight="1" x14ac:dyDescent="0.35">
      <c r="A35" s="119">
        <v>26</v>
      </c>
      <c r="B35" s="4"/>
      <c r="C35" s="7"/>
      <c r="D35" s="4"/>
      <c r="E35" s="246"/>
      <c r="F35" s="10"/>
      <c r="G35" s="10"/>
      <c r="H35" s="10"/>
      <c r="I35" s="10"/>
      <c r="J35" s="10"/>
      <c r="K35" s="10"/>
      <c r="L35" s="10"/>
      <c r="M35" s="10"/>
      <c r="N35" s="10"/>
      <c r="O35" s="11"/>
      <c r="P35" s="238"/>
      <c r="Q35" s="14"/>
      <c r="R35" s="10"/>
      <c r="S35" s="10"/>
      <c r="T35" s="10"/>
      <c r="U35" s="10"/>
      <c r="V35" s="10"/>
      <c r="W35" s="10"/>
      <c r="X35" s="10"/>
      <c r="Y35" s="10"/>
      <c r="Z35" s="15"/>
      <c r="AA35" s="238"/>
      <c r="AB35" s="14"/>
      <c r="AC35" s="10"/>
      <c r="AD35" s="10"/>
      <c r="AE35" s="10"/>
      <c r="AF35" s="10"/>
      <c r="AG35" s="10"/>
      <c r="AH35" s="10"/>
      <c r="AI35" s="10"/>
      <c r="AJ35" s="10"/>
      <c r="AK35" s="15"/>
      <c r="AL35" s="238"/>
      <c r="AM35" s="14"/>
      <c r="AN35" s="10"/>
      <c r="AO35" s="10"/>
      <c r="AP35" s="10"/>
      <c r="AQ35" s="10"/>
      <c r="AR35" s="10"/>
      <c r="AS35" s="10"/>
      <c r="AT35" s="10"/>
      <c r="AU35" s="10"/>
      <c r="AV35" s="15"/>
      <c r="AW35" s="238"/>
      <c r="AX35" s="14"/>
      <c r="AY35" s="10"/>
      <c r="AZ35" s="10"/>
      <c r="BA35" s="10"/>
      <c r="BB35" s="10"/>
      <c r="BC35" s="10"/>
      <c r="BD35" s="10"/>
      <c r="BE35" s="10"/>
      <c r="BF35" s="10"/>
      <c r="BG35" s="15"/>
      <c r="BH35" s="238"/>
      <c r="BI35" s="14"/>
      <c r="BJ35" s="10"/>
      <c r="BK35" s="10"/>
      <c r="BL35" s="10"/>
      <c r="BM35" s="10"/>
      <c r="BN35" s="10"/>
      <c r="BO35" s="10"/>
      <c r="BP35" s="10"/>
      <c r="BQ35" s="10"/>
      <c r="BR35" s="15"/>
      <c r="BS35" s="238"/>
      <c r="BT35" s="14"/>
      <c r="BU35" s="10"/>
      <c r="BV35" s="10"/>
      <c r="BW35" s="10"/>
      <c r="BX35" s="10"/>
      <c r="BY35" s="10"/>
      <c r="BZ35" s="10"/>
      <c r="CA35" s="10"/>
      <c r="CB35" s="14"/>
      <c r="CC35" s="10"/>
      <c r="CD35" s="10"/>
      <c r="CE35" s="10"/>
      <c r="CF35" s="10"/>
      <c r="CG35" s="10"/>
      <c r="CH35" s="10"/>
      <c r="CI35" s="238"/>
      <c r="CJ35" s="14"/>
      <c r="CK35" s="10"/>
      <c r="CL35" s="10"/>
      <c r="CM35" s="10"/>
      <c r="CN35" s="10"/>
      <c r="CO35" s="10"/>
      <c r="CP35" s="10"/>
      <c r="CQ35" s="10"/>
      <c r="CR35" s="14"/>
      <c r="CS35" s="10"/>
      <c r="CT35" s="10"/>
      <c r="CU35" s="10"/>
      <c r="CV35" s="10"/>
      <c r="CW35" s="10"/>
      <c r="CX35" s="10"/>
      <c r="CY35" s="238"/>
      <c r="CZ35" s="14"/>
      <c r="DA35" s="10"/>
      <c r="DB35" s="10"/>
      <c r="DC35" s="10"/>
      <c r="DD35" s="10"/>
      <c r="DE35" s="10"/>
      <c r="DF35" s="10"/>
      <c r="DG35" s="10"/>
      <c r="DH35" s="14"/>
      <c r="DI35" s="10"/>
      <c r="DJ35" s="10"/>
      <c r="DK35" s="10"/>
      <c r="DL35" s="10"/>
      <c r="DM35" s="10"/>
      <c r="DN35" s="10"/>
      <c r="DO35" s="238"/>
      <c r="DP35" s="14"/>
      <c r="DQ35" s="10"/>
      <c r="DR35" s="10"/>
      <c r="DS35" s="10"/>
      <c r="DT35" s="10"/>
      <c r="DU35" s="10"/>
      <c r="DV35" s="10"/>
      <c r="DW35" s="10"/>
      <c r="DX35" s="14"/>
      <c r="DY35" s="10"/>
      <c r="DZ35" s="10"/>
      <c r="EA35" s="10"/>
      <c r="EB35" s="10"/>
      <c r="EC35" s="10"/>
      <c r="ED35" s="10"/>
      <c r="EE35" s="238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238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238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238"/>
      <c r="FP35" s="14"/>
      <c r="FQ35" s="14"/>
      <c r="FR35" s="14"/>
      <c r="FS35" s="14"/>
      <c r="FT35" s="14"/>
      <c r="FU35" s="238"/>
      <c r="FV35" s="14"/>
      <c r="FW35" s="14"/>
      <c r="FX35" s="14"/>
      <c r="FY35" s="14"/>
      <c r="FZ35" s="14"/>
      <c r="GA35" s="120"/>
      <c r="GB35" s="122" t="str">
        <f t="shared" si="0"/>
        <v/>
      </c>
      <c r="GC35" s="140" t="str">
        <f t="shared" si="1"/>
        <v/>
      </c>
      <c r="GD35" s="122">
        <f t="shared" si="2"/>
        <v>0</v>
      </c>
      <c r="GE35" s="122">
        <f t="shared" si="3"/>
        <v>0</v>
      </c>
      <c r="GF35" s="122">
        <f t="shared" si="4"/>
        <v>0</v>
      </c>
      <c r="GG35" s="122">
        <f t="shared" si="5"/>
        <v>0</v>
      </c>
      <c r="GH35" s="122">
        <f t="shared" si="6"/>
        <v>0</v>
      </c>
      <c r="GI35" s="122">
        <f t="shared" si="7"/>
        <v>0</v>
      </c>
      <c r="GJ35" s="122">
        <f t="shared" si="8"/>
        <v>0</v>
      </c>
      <c r="GK35" s="122">
        <f t="shared" si="9"/>
        <v>0</v>
      </c>
      <c r="GL35" s="122">
        <f t="shared" si="10"/>
        <v>0</v>
      </c>
      <c r="GM35" s="122">
        <f t="shared" si="11"/>
        <v>0</v>
      </c>
      <c r="GN35" s="122">
        <f t="shared" si="12"/>
        <v>0</v>
      </c>
      <c r="GO35" s="122">
        <f t="shared" si="13"/>
        <v>0</v>
      </c>
      <c r="GP35" s="122">
        <f t="shared" si="14"/>
        <v>0</v>
      </c>
      <c r="GQ35" s="122">
        <f t="shared" si="15"/>
        <v>0</v>
      </c>
      <c r="GR35" s="122">
        <f t="shared" si="16"/>
        <v>0</v>
      </c>
      <c r="GS35" s="123">
        <f t="shared" si="17"/>
        <v>0</v>
      </c>
      <c r="GT35"/>
      <c r="GU35"/>
      <c r="GV35"/>
      <c r="GW35"/>
      <c r="GX35" s="118"/>
      <c r="GY35" s="118"/>
      <c r="GZ35" s="118"/>
      <c r="HA35" s="118"/>
      <c r="HB35" s="118"/>
      <c r="HC35" s="118"/>
      <c r="HD35" s="118"/>
      <c r="HE35" s="118"/>
      <c r="HF35" s="118"/>
      <c r="HG35" s="118"/>
      <c r="HH35" s="118"/>
      <c r="HI35" s="118"/>
      <c r="HJ35" s="118"/>
      <c r="HK35" s="118"/>
      <c r="HL35" s="118"/>
    </row>
    <row r="36" spans="1:220" s="74" customFormat="1" ht="30" hidden="1" customHeight="1" x14ac:dyDescent="0.35">
      <c r="A36" s="119">
        <v>27</v>
      </c>
      <c r="B36" s="3"/>
      <c r="C36" s="6"/>
      <c r="D36" s="3"/>
      <c r="E36" s="246"/>
      <c r="F36" s="8"/>
      <c r="G36" s="8"/>
      <c r="H36" s="8"/>
      <c r="I36" s="8"/>
      <c r="J36" s="8"/>
      <c r="K36" s="8"/>
      <c r="L36" s="8"/>
      <c r="M36" s="8"/>
      <c r="N36" s="8"/>
      <c r="O36" s="9"/>
      <c r="P36" s="238"/>
      <c r="Q36" s="12"/>
      <c r="R36" s="8"/>
      <c r="S36" s="8"/>
      <c r="T36" s="8"/>
      <c r="U36" s="8"/>
      <c r="V36" s="8"/>
      <c r="W36" s="8"/>
      <c r="X36" s="8"/>
      <c r="Y36" s="8"/>
      <c r="Z36" s="13"/>
      <c r="AA36" s="238"/>
      <c r="AB36" s="12"/>
      <c r="AC36" s="8"/>
      <c r="AD36" s="8"/>
      <c r="AE36" s="8"/>
      <c r="AF36" s="8"/>
      <c r="AG36" s="8"/>
      <c r="AH36" s="8"/>
      <c r="AI36" s="8"/>
      <c r="AJ36" s="8"/>
      <c r="AK36" s="13"/>
      <c r="AL36" s="238"/>
      <c r="AM36" s="12"/>
      <c r="AN36" s="8"/>
      <c r="AO36" s="8"/>
      <c r="AP36" s="8"/>
      <c r="AQ36" s="8"/>
      <c r="AR36" s="8"/>
      <c r="AS36" s="8"/>
      <c r="AT36" s="8"/>
      <c r="AU36" s="8"/>
      <c r="AV36" s="13"/>
      <c r="AW36" s="238"/>
      <c r="AX36" s="12"/>
      <c r="AY36" s="8"/>
      <c r="AZ36" s="8"/>
      <c r="BA36" s="8"/>
      <c r="BB36" s="8"/>
      <c r="BC36" s="8"/>
      <c r="BD36" s="8"/>
      <c r="BE36" s="8"/>
      <c r="BF36" s="8"/>
      <c r="BG36" s="13"/>
      <c r="BH36" s="238"/>
      <c r="BI36" s="12"/>
      <c r="BJ36" s="8"/>
      <c r="BK36" s="8"/>
      <c r="BL36" s="8"/>
      <c r="BM36" s="8"/>
      <c r="BN36" s="8"/>
      <c r="BO36" s="8"/>
      <c r="BP36" s="8"/>
      <c r="BQ36" s="8"/>
      <c r="BR36" s="13"/>
      <c r="BS36" s="238"/>
      <c r="BT36" s="12"/>
      <c r="BU36" s="8"/>
      <c r="BV36" s="8"/>
      <c r="BW36" s="8"/>
      <c r="BX36" s="8"/>
      <c r="BY36" s="8"/>
      <c r="BZ36" s="8"/>
      <c r="CA36" s="8"/>
      <c r="CB36" s="12"/>
      <c r="CC36" s="8"/>
      <c r="CD36" s="8"/>
      <c r="CE36" s="8"/>
      <c r="CF36" s="8"/>
      <c r="CG36" s="8"/>
      <c r="CH36" s="8"/>
      <c r="CI36" s="238"/>
      <c r="CJ36" s="12"/>
      <c r="CK36" s="8"/>
      <c r="CL36" s="8"/>
      <c r="CM36" s="8"/>
      <c r="CN36" s="8"/>
      <c r="CO36" s="8"/>
      <c r="CP36" s="8"/>
      <c r="CQ36" s="8"/>
      <c r="CR36" s="12"/>
      <c r="CS36" s="8"/>
      <c r="CT36" s="8"/>
      <c r="CU36" s="8"/>
      <c r="CV36" s="8"/>
      <c r="CW36" s="8"/>
      <c r="CX36" s="8"/>
      <c r="CY36" s="238"/>
      <c r="CZ36" s="12"/>
      <c r="DA36" s="8"/>
      <c r="DB36" s="8"/>
      <c r="DC36" s="8"/>
      <c r="DD36" s="8"/>
      <c r="DE36" s="8"/>
      <c r="DF36" s="8"/>
      <c r="DG36" s="8"/>
      <c r="DH36" s="12"/>
      <c r="DI36" s="8"/>
      <c r="DJ36" s="8"/>
      <c r="DK36" s="8"/>
      <c r="DL36" s="8"/>
      <c r="DM36" s="8"/>
      <c r="DN36" s="8"/>
      <c r="DO36" s="238"/>
      <c r="DP36" s="12"/>
      <c r="DQ36" s="8"/>
      <c r="DR36" s="8"/>
      <c r="DS36" s="8"/>
      <c r="DT36" s="8"/>
      <c r="DU36" s="8"/>
      <c r="DV36" s="8"/>
      <c r="DW36" s="8"/>
      <c r="DX36" s="12"/>
      <c r="DY36" s="8"/>
      <c r="DZ36" s="8"/>
      <c r="EA36" s="8"/>
      <c r="EB36" s="8"/>
      <c r="EC36" s="8"/>
      <c r="ED36" s="8"/>
      <c r="EE36" s="238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238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238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238"/>
      <c r="FP36" s="12"/>
      <c r="FQ36" s="12"/>
      <c r="FR36" s="12"/>
      <c r="FS36" s="12"/>
      <c r="FT36" s="12"/>
      <c r="FU36" s="238"/>
      <c r="FV36" s="12"/>
      <c r="FW36" s="12"/>
      <c r="FX36" s="12"/>
      <c r="FY36" s="12"/>
      <c r="FZ36" s="12"/>
      <c r="GA36" s="120"/>
      <c r="GB36" s="118" t="str">
        <f t="shared" si="0"/>
        <v/>
      </c>
      <c r="GC36" s="139" t="str">
        <f t="shared" si="1"/>
        <v/>
      </c>
      <c r="GD36" s="118">
        <f t="shared" si="2"/>
        <v>0</v>
      </c>
      <c r="GE36" s="118">
        <f t="shared" si="3"/>
        <v>0</v>
      </c>
      <c r="GF36" s="118">
        <f t="shared" si="4"/>
        <v>0</v>
      </c>
      <c r="GG36" s="118">
        <f t="shared" si="5"/>
        <v>0</v>
      </c>
      <c r="GH36" s="118">
        <f t="shared" si="6"/>
        <v>0</v>
      </c>
      <c r="GI36" s="118">
        <f t="shared" si="7"/>
        <v>0</v>
      </c>
      <c r="GJ36" s="118">
        <f t="shared" si="8"/>
        <v>0</v>
      </c>
      <c r="GK36" s="118">
        <f t="shared" si="9"/>
        <v>0</v>
      </c>
      <c r="GL36" s="118">
        <f t="shared" si="10"/>
        <v>0</v>
      </c>
      <c r="GM36" s="118">
        <f t="shared" si="11"/>
        <v>0</v>
      </c>
      <c r="GN36" s="118">
        <f t="shared" si="12"/>
        <v>0</v>
      </c>
      <c r="GO36" s="118">
        <f t="shared" si="13"/>
        <v>0</v>
      </c>
      <c r="GP36" s="118">
        <f t="shared" si="14"/>
        <v>0</v>
      </c>
      <c r="GQ36" s="118">
        <f t="shared" si="15"/>
        <v>0</v>
      </c>
      <c r="GR36" s="118">
        <f t="shared" si="16"/>
        <v>0</v>
      </c>
      <c r="GS36" s="121">
        <f t="shared" si="17"/>
        <v>0</v>
      </c>
      <c r="GT36"/>
      <c r="GU36"/>
      <c r="GV36"/>
      <c r="GW36"/>
      <c r="GX36" s="118"/>
      <c r="GY36" s="118"/>
      <c r="GZ36" s="118"/>
      <c r="HA36" s="118"/>
      <c r="HB36" s="118"/>
      <c r="HC36" s="118"/>
      <c r="HD36" s="118"/>
      <c r="HE36" s="118"/>
      <c r="HF36" s="118"/>
      <c r="HG36" s="118"/>
      <c r="HH36" s="118"/>
      <c r="HI36" s="118"/>
      <c r="HJ36" s="118"/>
      <c r="HK36" s="118"/>
      <c r="HL36" s="118"/>
    </row>
    <row r="37" spans="1:220" s="74" customFormat="1" ht="30" hidden="1" customHeight="1" x14ac:dyDescent="0.35">
      <c r="A37" s="119">
        <v>28</v>
      </c>
      <c r="B37" s="4"/>
      <c r="C37" s="7"/>
      <c r="D37" s="4"/>
      <c r="E37" s="246"/>
      <c r="F37" s="10"/>
      <c r="G37" s="10"/>
      <c r="H37" s="10"/>
      <c r="I37" s="10"/>
      <c r="J37" s="10"/>
      <c r="K37" s="10"/>
      <c r="L37" s="10"/>
      <c r="M37" s="10"/>
      <c r="N37" s="10"/>
      <c r="O37" s="11"/>
      <c r="P37" s="238"/>
      <c r="Q37" s="14"/>
      <c r="R37" s="10"/>
      <c r="S37" s="10"/>
      <c r="T37" s="10"/>
      <c r="U37" s="10"/>
      <c r="V37" s="10"/>
      <c r="W37" s="10"/>
      <c r="X37" s="10"/>
      <c r="Y37" s="10"/>
      <c r="Z37" s="15"/>
      <c r="AA37" s="238"/>
      <c r="AB37" s="14"/>
      <c r="AC37" s="10"/>
      <c r="AD37" s="10"/>
      <c r="AE37" s="10"/>
      <c r="AF37" s="10"/>
      <c r="AG37" s="10"/>
      <c r="AH37" s="10"/>
      <c r="AI37" s="10"/>
      <c r="AJ37" s="10"/>
      <c r="AK37" s="15"/>
      <c r="AL37" s="238"/>
      <c r="AM37" s="14"/>
      <c r="AN37" s="10"/>
      <c r="AO37" s="10"/>
      <c r="AP37" s="10"/>
      <c r="AQ37" s="10"/>
      <c r="AR37" s="10"/>
      <c r="AS37" s="10"/>
      <c r="AT37" s="10"/>
      <c r="AU37" s="10"/>
      <c r="AV37" s="15"/>
      <c r="AW37" s="238"/>
      <c r="AX37" s="14"/>
      <c r="AY37" s="10"/>
      <c r="AZ37" s="10"/>
      <c r="BA37" s="10"/>
      <c r="BB37" s="10"/>
      <c r="BC37" s="10"/>
      <c r="BD37" s="10"/>
      <c r="BE37" s="10"/>
      <c r="BF37" s="10"/>
      <c r="BG37" s="15"/>
      <c r="BH37" s="238"/>
      <c r="BI37" s="14"/>
      <c r="BJ37" s="10"/>
      <c r="BK37" s="10"/>
      <c r="BL37" s="10"/>
      <c r="BM37" s="10"/>
      <c r="BN37" s="10"/>
      <c r="BO37" s="10"/>
      <c r="BP37" s="10"/>
      <c r="BQ37" s="10"/>
      <c r="BR37" s="15"/>
      <c r="BS37" s="238"/>
      <c r="BT37" s="14"/>
      <c r="BU37" s="10"/>
      <c r="BV37" s="10"/>
      <c r="BW37" s="10"/>
      <c r="BX37" s="10"/>
      <c r="BY37" s="10"/>
      <c r="BZ37" s="10"/>
      <c r="CA37" s="10"/>
      <c r="CB37" s="14"/>
      <c r="CC37" s="10"/>
      <c r="CD37" s="10"/>
      <c r="CE37" s="10"/>
      <c r="CF37" s="10"/>
      <c r="CG37" s="10"/>
      <c r="CH37" s="10"/>
      <c r="CI37" s="238"/>
      <c r="CJ37" s="14"/>
      <c r="CK37" s="10"/>
      <c r="CL37" s="10"/>
      <c r="CM37" s="10"/>
      <c r="CN37" s="10"/>
      <c r="CO37" s="10"/>
      <c r="CP37" s="10"/>
      <c r="CQ37" s="10"/>
      <c r="CR37" s="14"/>
      <c r="CS37" s="10"/>
      <c r="CT37" s="10"/>
      <c r="CU37" s="10"/>
      <c r="CV37" s="10"/>
      <c r="CW37" s="10"/>
      <c r="CX37" s="10"/>
      <c r="CY37" s="238"/>
      <c r="CZ37" s="14"/>
      <c r="DA37" s="10"/>
      <c r="DB37" s="10"/>
      <c r="DC37" s="10"/>
      <c r="DD37" s="10"/>
      <c r="DE37" s="10"/>
      <c r="DF37" s="10"/>
      <c r="DG37" s="10"/>
      <c r="DH37" s="14"/>
      <c r="DI37" s="10"/>
      <c r="DJ37" s="10"/>
      <c r="DK37" s="10"/>
      <c r="DL37" s="10"/>
      <c r="DM37" s="10"/>
      <c r="DN37" s="10"/>
      <c r="DO37" s="238"/>
      <c r="DP37" s="14"/>
      <c r="DQ37" s="10"/>
      <c r="DR37" s="10"/>
      <c r="DS37" s="10"/>
      <c r="DT37" s="10"/>
      <c r="DU37" s="10"/>
      <c r="DV37" s="10"/>
      <c r="DW37" s="10"/>
      <c r="DX37" s="14"/>
      <c r="DY37" s="10"/>
      <c r="DZ37" s="10"/>
      <c r="EA37" s="10"/>
      <c r="EB37" s="10"/>
      <c r="EC37" s="10"/>
      <c r="ED37" s="10"/>
      <c r="EE37" s="238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238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238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238"/>
      <c r="FP37" s="14"/>
      <c r="FQ37" s="14"/>
      <c r="FR37" s="14"/>
      <c r="FS37" s="14"/>
      <c r="FT37" s="14"/>
      <c r="FU37" s="238"/>
      <c r="FV37" s="14"/>
      <c r="FW37" s="14"/>
      <c r="FX37" s="14"/>
      <c r="FY37" s="14"/>
      <c r="FZ37" s="14"/>
      <c r="GA37" s="120"/>
      <c r="GB37" s="122" t="str">
        <f t="shared" si="0"/>
        <v/>
      </c>
      <c r="GC37" s="140" t="str">
        <f t="shared" si="1"/>
        <v/>
      </c>
      <c r="GD37" s="122">
        <f t="shared" si="2"/>
        <v>0</v>
      </c>
      <c r="GE37" s="122">
        <f t="shared" si="3"/>
        <v>0</v>
      </c>
      <c r="GF37" s="122">
        <f t="shared" si="4"/>
        <v>0</v>
      </c>
      <c r="GG37" s="122">
        <f t="shared" si="5"/>
        <v>0</v>
      </c>
      <c r="GH37" s="122">
        <f t="shared" si="6"/>
        <v>0</v>
      </c>
      <c r="GI37" s="122">
        <f t="shared" si="7"/>
        <v>0</v>
      </c>
      <c r="GJ37" s="122">
        <f t="shared" si="8"/>
        <v>0</v>
      </c>
      <c r="GK37" s="122">
        <f t="shared" si="9"/>
        <v>0</v>
      </c>
      <c r="GL37" s="122">
        <f t="shared" si="10"/>
        <v>0</v>
      </c>
      <c r="GM37" s="122">
        <f t="shared" si="11"/>
        <v>0</v>
      </c>
      <c r="GN37" s="122">
        <f t="shared" si="12"/>
        <v>0</v>
      </c>
      <c r="GO37" s="122">
        <f t="shared" si="13"/>
        <v>0</v>
      </c>
      <c r="GP37" s="122">
        <f t="shared" si="14"/>
        <v>0</v>
      </c>
      <c r="GQ37" s="122">
        <f t="shared" si="15"/>
        <v>0</v>
      </c>
      <c r="GR37" s="122">
        <f t="shared" si="16"/>
        <v>0</v>
      </c>
      <c r="GS37" s="123">
        <f t="shared" si="17"/>
        <v>0</v>
      </c>
      <c r="GT37"/>
      <c r="GU37"/>
      <c r="GV37"/>
      <c r="GW37"/>
      <c r="GX37" s="118"/>
      <c r="GY37" s="118"/>
      <c r="GZ37" s="118"/>
      <c r="HA37" s="118"/>
      <c r="HB37" s="118"/>
      <c r="HC37" s="118"/>
      <c r="HD37" s="118"/>
      <c r="HE37" s="118"/>
      <c r="HF37" s="118"/>
      <c r="HG37" s="118"/>
      <c r="HH37" s="118"/>
      <c r="HI37" s="118"/>
      <c r="HJ37" s="118"/>
      <c r="HK37" s="118"/>
      <c r="HL37" s="118"/>
    </row>
    <row r="38" spans="1:220" s="74" customFormat="1" ht="30" hidden="1" customHeight="1" x14ac:dyDescent="0.35">
      <c r="A38" s="119">
        <v>29</v>
      </c>
      <c r="B38" s="3"/>
      <c r="C38" s="6"/>
      <c r="D38" s="3"/>
      <c r="E38" s="246"/>
      <c r="F38" s="8"/>
      <c r="G38" s="8"/>
      <c r="H38" s="8"/>
      <c r="I38" s="8"/>
      <c r="J38" s="8"/>
      <c r="K38" s="8"/>
      <c r="L38" s="8"/>
      <c r="M38" s="8"/>
      <c r="N38" s="8"/>
      <c r="O38" s="9"/>
      <c r="P38" s="238"/>
      <c r="Q38" s="12"/>
      <c r="R38" s="8"/>
      <c r="S38" s="8"/>
      <c r="T38" s="8"/>
      <c r="U38" s="8"/>
      <c r="V38" s="8"/>
      <c r="W38" s="8"/>
      <c r="X38" s="8"/>
      <c r="Y38" s="8"/>
      <c r="Z38" s="13"/>
      <c r="AA38" s="238"/>
      <c r="AB38" s="12"/>
      <c r="AC38" s="8"/>
      <c r="AD38" s="8"/>
      <c r="AE38" s="8"/>
      <c r="AF38" s="8"/>
      <c r="AG38" s="8"/>
      <c r="AH38" s="8"/>
      <c r="AI38" s="8"/>
      <c r="AJ38" s="8"/>
      <c r="AK38" s="13"/>
      <c r="AL38" s="238"/>
      <c r="AM38" s="12"/>
      <c r="AN38" s="8"/>
      <c r="AO38" s="8"/>
      <c r="AP38" s="8"/>
      <c r="AQ38" s="8"/>
      <c r="AR38" s="8"/>
      <c r="AS38" s="8"/>
      <c r="AT38" s="8"/>
      <c r="AU38" s="8"/>
      <c r="AV38" s="13"/>
      <c r="AW38" s="238"/>
      <c r="AX38" s="12"/>
      <c r="AY38" s="8"/>
      <c r="AZ38" s="8"/>
      <c r="BA38" s="8"/>
      <c r="BB38" s="8"/>
      <c r="BC38" s="8"/>
      <c r="BD38" s="8"/>
      <c r="BE38" s="8"/>
      <c r="BF38" s="8"/>
      <c r="BG38" s="13"/>
      <c r="BH38" s="238"/>
      <c r="BI38" s="12"/>
      <c r="BJ38" s="8"/>
      <c r="BK38" s="8"/>
      <c r="BL38" s="8"/>
      <c r="BM38" s="8"/>
      <c r="BN38" s="8"/>
      <c r="BO38" s="8"/>
      <c r="BP38" s="8"/>
      <c r="BQ38" s="8"/>
      <c r="BR38" s="13"/>
      <c r="BS38" s="238"/>
      <c r="BT38" s="12"/>
      <c r="BU38" s="8"/>
      <c r="BV38" s="8"/>
      <c r="BW38" s="8"/>
      <c r="BX38" s="8"/>
      <c r="BY38" s="8"/>
      <c r="BZ38" s="8"/>
      <c r="CA38" s="8"/>
      <c r="CB38" s="12"/>
      <c r="CC38" s="8"/>
      <c r="CD38" s="8"/>
      <c r="CE38" s="8"/>
      <c r="CF38" s="8"/>
      <c r="CG38" s="8"/>
      <c r="CH38" s="8"/>
      <c r="CI38" s="238"/>
      <c r="CJ38" s="12"/>
      <c r="CK38" s="8"/>
      <c r="CL38" s="8"/>
      <c r="CM38" s="8"/>
      <c r="CN38" s="8"/>
      <c r="CO38" s="8"/>
      <c r="CP38" s="8"/>
      <c r="CQ38" s="8"/>
      <c r="CR38" s="12"/>
      <c r="CS38" s="8"/>
      <c r="CT38" s="8"/>
      <c r="CU38" s="8"/>
      <c r="CV38" s="8"/>
      <c r="CW38" s="8"/>
      <c r="CX38" s="8"/>
      <c r="CY38" s="238"/>
      <c r="CZ38" s="12"/>
      <c r="DA38" s="8"/>
      <c r="DB38" s="8"/>
      <c r="DC38" s="8"/>
      <c r="DD38" s="8"/>
      <c r="DE38" s="8"/>
      <c r="DF38" s="8"/>
      <c r="DG38" s="8"/>
      <c r="DH38" s="12"/>
      <c r="DI38" s="8"/>
      <c r="DJ38" s="8"/>
      <c r="DK38" s="8"/>
      <c r="DL38" s="8"/>
      <c r="DM38" s="8"/>
      <c r="DN38" s="8"/>
      <c r="DO38" s="238"/>
      <c r="DP38" s="12"/>
      <c r="DQ38" s="8"/>
      <c r="DR38" s="8"/>
      <c r="DS38" s="8"/>
      <c r="DT38" s="8"/>
      <c r="DU38" s="8"/>
      <c r="DV38" s="8"/>
      <c r="DW38" s="8"/>
      <c r="DX38" s="12"/>
      <c r="DY38" s="8"/>
      <c r="DZ38" s="8"/>
      <c r="EA38" s="8"/>
      <c r="EB38" s="8"/>
      <c r="EC38" s="8"/>
      <c r="ED38" s="8"/>
      <c r="EE38" s="238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238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238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238"/>
      <c r="FP38" s="12"/>
      <c r="FQ38" s="12"/>
      <c r="FR38" s="12"/>
      <c r="FS38" s="12"/>
      <c r="FT38" s="12"/>
      <c r="FU38" s="238"/>
      <c r="FV38" s="12"/>
      <c r="FW38" s="12"/>
      <c r="FX38" s="12"/>
      <c r="FY38" s="12"/>
      <c r="FZ38" s="12"/>
      <c r="GA38" s="120"/>
      <c r="GB38" s="118" t="str">
        <f t="shared" si="0"/>
        <v/>
      </c>
      <c r="GC38" s="139" t="str">
        <f t="shared" si="1"/>
        <v/>
      </c>
      <c r="GD38" s="118">
        <f t="shared" si="2"/>
        <v>0</v>
      </c>
      <c r="GE38" s="118">
        <f t="shared" si="3"/>
        <v>0</v>
      </c>
      <c r="GF38" s="118">
        <f t="shared" si="4"/>
        <v>0</v>
      </c>
      <c r="GG38" s="118">
        <f t="shared" si="5"/>
        <v>0</v>
      </c>
      <c r="GH38" s="118">
        <f t="shared" si="6"/>
        <v>0</v>
      </c>
      <c r="GI38" s="118">
        <f t="shared" si="7"/>
        <v>0</v>
      </c>
      <c r="GJ38" s="118">
        <f t="shared" si="8"/>
        <v>0</v>
      </c>
      <c r="GK38" s="118">
        <f t="shared" si="9"/>
        <v>0</v>
      </c>
      <c r="GL38" s="118">
        <f t="shared" si="10"/>
        <v>0</v>
      </c>
      <c r="GM38" s="118">
        <f t="shared" si="11"/>
        <v>0</v>
      </c>
      <c r="GN38" s="118">
        <f t="shared" si="12"/>
        <v>0</v>
      </c>
      <c r="GO38" s="118">
        <f t="shared" si="13"/>
        <v>0</v>
      </c>
      <c r="GP38" s="118">
        <f t="shared" si="14"/>
        <v>0</v>
      </c>
      <c r="GQ38" s="118">
        <f t="shared" si="15"/>
        <v>0</v>
      </c>
      <c r="GR38" s="118">
        <f t="shared" si="16"/>
        <v>0</v>
      </c>
      <c r="GS38" s="121">
        <f t="shared" si="17"/>
        <v>0</v>
      </c>
      <c r="GT38"/>
      <c r="GU38"/>
      <c r="GV38"/>
      <c r="GW38"/>
      <c r="GX38" s="118"/>
      <c r="GY38" s="118"/>
      <c r="GZ38" s="118"/>
      <c r="HA38" s="118"/>
      <c r="HB38" s="118"/>
      <c r="HC38" s="118"/>
      <c r="HD38" s="118"/>
      <c r="HE38" s="118"/>
      <c r="HF38" s="118"/>
      <c r="HG38" s="118"/>
      <c r="HH38" s="118"/>
      <c r="HI38" s="118"/>
      <c r="HJ38" s="118"/>
      <c r="HK38" s="118"/>
      <c r="HL38" s="118"/>
    </row>
    <row r="39" spans="1:220" s="74" customFormat="1" ht="30" hidden="1" customHeight="1" x14ac:dyDescent="0.35">
      <c r="A39" s="119">
        <v>30</v>
      </c>
      <c r="B39" s="4"/>
      <c r="C39" s="7"/>
      <c r="D39" s="4"/>
      <c r="E39" s="246"/>
      <c r="F39" s="10"/>
      <c r="G39" s="10"/>
      <c r="H39" s="10"/>
      <c r="I39" s="10"/>
      <c r="J39" s="10"/>
      <c r="K39" s="10"/>
      <c r="L39" s="10"/>
      <c r="M39" s="10"/>
      <c r="N39" s="10"/>
      <c r="O39" s="11"/>
      <c r="P39" s="238"/>
      <c r="Q39" s="14"/>
      <c r="R39" s="10"/>
      <c r="S39" s="10"/>
      <c r="T39" s="10"/>
      <c r="U39" s="10"/>
      <c r="V39" s="10"/>
      <c r="W39" s="10"/>
      <c r="X39" s="10"/>
      <c r="Y39" s="10"/>
      <c r="Z39" s="15"/>
      <c r="AA39" s="238"/>
      <c r="AB39" s="14"/>
      <c r="AC39" s="10"/>
      <c r="AD39" s="10"/>
      <c r="AE39" s="10"/>
      <c r="AF39" s="10"/>
      <c r="AG39" s="10"/>
      <c r="AH39" s="10"/>
      <c r="AI39" s="10"/>
      <c r="AJ39" s="10"/>
      <c r="AK39" s="15"/>
      <c r="AL39" s="238"/>
      <c r="AM39" s="14"/>
      <c r="AN39" s="10"/>
      <c r="AO39" s="10"/>
      <c r="AP39" s="10"/>
      <c r="AQ39" s="10"/>
      <c r="AR39" s="10"/>
      <c r="AS39" s="10"/>
      <c r="AT39" s="10"/>
      <c r="AU39" s="10"/>
      <c r="AV39" s="15"/>
      <c r="AW39" s="238"/>
      <c r="AX39" s="14"/>
      <c r="AY39" s="10"/>
      <c r="AZ39" s="10"/>
      <c r="BA39" s="10"/>
      <c r="BB39" s="10"/>
      <c r="BC39" s="10"/>
      <c r="BD39" s="10"/>
      <c r="BE39" s="10"/>
      <c r="BF39" s="10"/>
      <c r="BG39" s="15"/>
      <c r="BH39" s="238"/>
      <c r="BI39" s="14"/>
      <c r="BJ39" s="10"/>
      <c r="BK39" s="10"/>
      <c r="BL39" s="10"/>
      <c r="BM39" s="10"/>
      <c r="BN39" s="10"/>
      <c r="BO39" s="10"/>
      <c r="BP39" s="10"/>
      <c r="BQ39" s="10"/>
      <c r="BR39" s="15"/>
      <c r="BS39" s="238"/>
      <c r="BT39" s="14"/>
      <c r="BU39" s="10"/>
      <c r="BV39" s="10"/>
      <c r="BW39" s="10"/>
      <c r="BX39" s="10"/>
      <c r="BY39" s="10"/>
      <c r="BZ39" s="10"/>
      <c r="CA39" s="10"/>
      <c r="CB39" s="14"/>
      <c r="CC39" s="10"/>
      <c r="CD39" s="10"/>
      <c r="CE39" s="10"/>
      <c r="CF39" s="10"/>
      <c r="CG39" s="10"/>
      <c r="CH39" s="10"/>
      <c r="CI39" s="238"/>
      <c r="CJ39" s="14"/>
      <c r="CK39" s="10"/>
      <c r="CL39" s="10"/>
      <c r="CM39" s="10"/>
      <c r="CN39" s="10"/>
      <c r="CO39" s="10"/>
      <c r="CP39" s="10"/>
      <c r="CQ39" s="10"/>
      <c r="CR39" s="14"/>
      <c r="CS39" s="10"/>
      <c r="CT39" s="10"/>
      <c r="CU39" s="10"/>
      <c r="CV39" s="10"/>
      <c r="CW39" s="10"/>
      <c r="CX39" s="10"/>
      <c r="CY39" s="238"/>
      <c r="CZ39" s="14"/>
      <c r="DA39" s="10"/>
      <c r="DB39" s="10"/>
      <c r="DC39" s="10"/>
      <c r="DD39" s="10"/>
      <c r="DE39" s="10"/>
      <c r="DF39" s="10"/>
      <c r="DG39" s="10"/>
      <c r="DH39" s="14"/>
      <c r="DI39" s="10"/>
      <c r="DJ39" s="10"/>
      <c r="DK39" s="10"/>
      <c r="DL39" s="10"/>
      <c r="DM39" s="10"/>
      <c r="DN39" s="10"/>
      <c r="DO39" s="238"/>
      <c r="DP39" s="14"/>
      <c r="DQ39" s="10"/>
      <c r="DR39" s="10"/>
      <c r="DS39" s="10"/>
      <c r="DT39" s="10"/>
      <c r="DU39" s="10"/>
      <c r="DV39" s="10"/>
      <c r="DW39" s="10"/>
      <c r="DX39" s="14"/>
      <c r="DY39" s="10"/>
      <c r="DZ39" s="10"/>
      <c r="EA39" s="10"/>
      <c r="EB39" s="10"/>
      <c r="EC39" s="10"/>
      <c r="ED39" s="10"/>
      <c r="EE39" s="238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238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238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238"/>
      <c r="FP39" s="14"/>
      <c r="FQ39" s="14"/>
      <c r="FR39" s="14"/>
      <c r="FS39" s="14"/>
      <c r="FT39" s="14"/>
      <c r="FU39" s="238"/>
      <c r="FV39" s="14"/>
      <c r="FW39" s="14"/>
      <c r="FX39" s="14"/>
      <c r="FY39" s="14"/>
      <c r="FZ39" s="14"/>
      <c r="GA39" s="120"/>
      <c r="GB39" s="122" t="str">
        <f t="shared" si="0"/>
        <v/>
      </c>
      <c r="GC39" s="140" t="str">
        <f t="shared" si="1"/>
        <v/>
      </c>
      <c r="GD39" s="122">
        <f t="shared" si="2"/>
        <v>0</v>
      </c>
      <c r="GE39" s="122">
        <f t="shared" si="3"/>
        <v>0</v>
      </c>
      <c r="GF39" s="122">
        <f t="shared" si="4"/>
        <v>0</v>
      </c>
      <c r="GG39" s="122">
        <f t="shared" si="5"/>
        <v>0</v>
      </c>
      <c r="GH39" s="122">
        <f t="shared" si="6"/>
        <v>0</v>
      </c>
      <c r="GI39" s="122">
        <f t="shared" si="7"/>
        <v>0</v>
      </c>
      <c r="GJ39" s="122">
        <f t="shared" si="8"/>
        <v>0</v>
      </c>
      <c r="GK39" s="122">
        <f t="shared" si="9"/>
        <v>0</v>
      </c>
      <c r="GL39" s="122">
        <f t="shared" si="10"/>
        <v>0</v>
      </c>
      <c r="GM39" s="122">
        <f t="shared" si="11"/>
        <v>0</v>
      </c>
      <c r="GN39" s="122">
        <f t="shared" si="12"/>
        <v>0</v>
      </c>
      <c r="GO39" s="122">
        <f t="shared" si="13"/>
        <v>0</v>
      </c>
      <c r="GP39" s="122">
        <f t="shared" si="14"/>
        <v>0</v>
      </c>
      <c r="GQ39" s="122">
        <f t="shared" si="15"/>
        <v>0</v>
      </c>
      <c r="GR39" s="122">
        <f t="shared" si="16"/>
        <v>0</v>
      </c>
      <c r="GS39" s="123">
        <f t="shared" si="17"/>
        <v>0</v>
      </c>
      <c r="GT39"/>
      <c r="GU39"/>
      <c r="GV39"/>
      <c r="GW39"/>
      <c r="GX39" s="118"/>
      <c r="GY39" s="118"/>
      <c r="GZ39" s="118"/>
      <c r="HA39" s="118"/>
      <c r="HB39" s="118"/>
      <c r="HC39" s="118"/>
      <c r="HD39" s="118"/>
      <c r="HE39" s="118"/>
      <c r="HF39" s="118"/>
      <c r="HG39" s="118"/>
      <c r="HH39" s="118"/>
      <c r="HI39" s="118"/>
      <c r="HJ39" s="118"/>
      <c r="HK39" s="118"/>
      <c r="HL39" s="118"/>
    </row>
    <row r="40" spans="1:220" s="74" customFormat="1" ht="30" hidden="1" customHeight="1" x14ac:dyDescent="0.35">
      <c r="A40" s="119">
        <v>31</v>
      </c>
      <c r="B40" s="3"/>
      <c r="C40" s="6"/>
      <c r="D40" s="3"/>
      <c r="E40" s="246"/>
      <c r="F40" s="8"/>
      <c r="G40" s="8"/>
      <c r="H40" s="8"/>
      <c r="I40" s="8"/>
      <c r="J40" s="8"/>
      <c r="K40" s="8"/>
      <c r="L40" s="8"/>
      <c r="M40" s="8"/>
      <c r="N40" s="8"/>
      <c r="O40" s="9"/>
      <c r="P40" s="238"/>
      <c r="Q40" s="12"/>
      <c r="R40" s="8"/>
      <c r="S40" s="8"/>
      <c r="T40" s="8"/>
      <c r="U40" s="8"/>
      <c r="V40" s="8"/>
      <c r="W40" s="8"/>
      <c r="X40" s="8"/>
      <c r="Y40" s="8"/>
      <c r="Z40" s="13"/>
      <c r="AA40" s="238"/>
      <c r="AB40" s="12"/>
      <c r="AC40" s="8"/>
      <c r="AD40" s="8"/>
      <c r="AE40" s="8"/>
      <c r="AF40" s="8"/>
      <c r="AG40" s="8"/>
      <c r="AH40" s="8"/>
      <c r="AI40" s="8"/>
      <c r="AJ40" s="8"/>
      <c r="AK40" s="13"/>
      <c r="AL40" s="238"/>
      <c r="AM40" s="12"/>
      <c r="AN40" s="8"/>
      <c r="AO40" s="8"/>
      <c r="AP40" s="8"/>
      <c r="AQ40" s="8"/>
      <c r="AR40" s="8"/>
      <c r="AS40" s="8"/>
      <c r="AT40" s="8"/>
      <c r="AU40" s="8"/>
      <c r="AV40" s="13"/>
      <c r="AW40" s="238"/>
      <c r="AX40" s="12"/>
      <c r="AY40" s="8"/>
      <c r="AZ40" s="8"/>
      <c r="BA40" s="8"/>
      <c r="BB40" s="8"/>
      <c r="BC40" s="8"/>
      <c r="BD40" s="8"/>
      <c r="BE40" s="8"/>
      <c r="BF40" s="8"/>
      <c r="BG40" s="13"/>
      <c r="BH40" s="238"/>
      <c r="BI40" s="12"/>
      <c r="BJ40" s="8"/>
      <c r="BK40" s="8"/>
      <c r="BL40" s="8"/>
      <c r="BM40" s="8"/>
      <c r="BN40" s="8"/>
      <c r="BO40" s="8"/>
      <c r="BP40" s="8"/>
      <c r="BQ40" s="8"/>
      <c r="BR40" s="13"/>
      <c r="BS40" s="238"/>
      <c r="BT40" s="12"/>
      <c r="BU40" s="8"/>
      <c r="BV40" s="8"/>
      <c r="BW40" s="8"/>
      <c r="BX40" s="8"/>
      <c r="BY40" s="8"/>
      <c r="BZ40" s="8"/>
      <c r="CA40" s="8"/>
      <c r="CB40" s="12"/>
      <c r="CC40" s="8"/>
      <c r="CD40" s="8"/>
      <c r="CE40" s="8"/>
      <c r="CF40" s="8"/>
      <c r="CG40" s="8"/>
      <c r="CH40" s="8"/>
      <c r="CI40" s="238"/>
      <c r="CJ40" s="12"/>
      <c r="CK40" s="8"/>
      <c r="CL40" s="8"/>
      <c r="CM40" s="8"/>
      <c r="CN40" s="8"/>
      <c r="CO40" s="8"/>
      <c r="CP40" s="8"/>
      <c r="CQ40" s="8"/>
      <c r="CR40" s="12"/>
      <c r="CS40" s="8"/>
      <c r="CT40" s="8"/>
      <c r="CU40" s="8"/>
      <c r="CV40" s="8"/>
      <c r="CW40" s="8"/>
      <c r="CX40" s="8"/>
      <c r="CY40" s="238"/>
      <c r="CZ40" s="12"/>
      <c r="DA40" s="8"/>
      <c r="DB40" s="8"/>
      <c r="DC40" s="8"/>
      <c r="DD40" s="8"/>
      <c r="DE40" s="8"/>
      <c r="DF40" s="8"/>
      <c r="DG40" s="8"/>
      <c r="DH40" s="12"/>
      <c r="DI40" s="8"/>
      <c r="DJ40" s="8"/>
      <c r="DK40" s="8"/>
      <c r="DL40" s="8"/>
      <c r="DM40" s="8"/>
      <c r="DN40" s="8"/>
      <c r="DO40" s="238"/>
      <c r="DP40" s="12"/>
      <c r="DQ40" s="8"/>
      <c r="DR40" s="8"/>
      <c r="DS40" s="8"/>
      <c r="DT40" s="8"/>
      <c r="DU40" s="8"/>
      <c r="DV40" s="8"/>
      <c r="DW40" s="8"/>
      <c r="DX40" s="12"/>
      <c r="DY40" s="8"/>
      <c r="DZ40" s="8"/>
      <c r="EA40" s="8"/>
      <c r="EB40" s="8"/>
      <c r="EC40" s="8"/>
      <c r="ED40" s="8"/>
      <c r="EE40" s="238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238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238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238"/>
      <c r="FP40" s="12"/>
      <c r="FQ40" s="12"/>
      <c r="FR40" s="12"/>
      <c r="FS40" s="12"/>
      <c r="FT40" s="12"/>
      <c r="FU40" s="238"/>
      <c r="FV40" s="12"/>
      <c r="FW40" s="12"/>
      <c r="FX40" s="12"/>
      <c r="FY40" s="12"/>
      <c r="FZ40" s="12"/>
      <c r="GA40" s="120"/>
      <c r="GB40" s="118" t="str">
        <f t="shared" si="0"/>
        <v/>
      </c>
      <c r="GC40" s="139" t="str">
        <f t="shared" si="1"/>
        <v/>
      </c>
      <c r="GD40" s="118">
        <f t="shared" si="2"/>
        <v>0</v>
      </c>
      <c r="GE40" s="118">
        <f t="shared" si="3"/>
        <v>0</v>
      </c>
      <c r="GF40" s="118">
        <f t="shared" si="4"/>
        <v>0</v>
      </c>
      <c r="GG40" s="118">
        <f t="shared" si="5"/>
        <v>0</v>
      </c>
      <c r="GH40" s="118">
        <f t="shared" si="6"/>
        <v>0</v>
      </c>
      <c r="GI40" s="118">
        <f t="shared" si="7"/>
        <v>0</v>
      </c>
      <c r="GJ40" s="118">
        <f t="shared" si="8"/>
        <v>0</v>
      </c>
      <c r="GK40" s="118">
        <f t="shared" si="9"/>
        <v>0</v>
      </c>
      <c r="GL40" s="118">
        <f t="shared" si="10"/>
        <v>0</v>
      </c>
      <c r="GM40" s="118">
        <f t="shared" si="11"/>
        <v>0</v>
      </c>
      <c r="GN40" s="118">
        <f t="shared" si="12"/>
        <v>0</v>
      </c>
      <c r="GO40" s="118">
        <f t="shared" si="13"/>
        <v>0</v>
      </c>
      <c r="GP40" s="118">
        <f t="shared" si="14"/>
        <v>0</v>
      </c>
      <c r="GQ40" s="118">
        <f t="shared" si="15"/>
        <v>0</v>
      </c>
      <c r="GR40" s="118">
        <f t="shared" si="16"/>
        <v>0</v>
      </c>
      <c r="GS40" s="121">
        <f t="shared" si="17"/>
        <v>0</v>
      </c>
      <c r="GT40"/>
      <c r="GU40"/>
      <c r="GV40"/>
      <c r="GW40"/>
      <c r="GX40" s="118"/>
      <c r="GY40" s="118"/>
      <c r="GZ40" s="118"/>
      <c r="HA40" s="118"/>
      <c r="HB40" s="118"/>
      <c r="HC40" s="118"/>
      <c r="HD40" s="118"/>
      <c r="HE40" s="118"/>
      <c r="HF40" s="118"/>
      <c r="HG40" s="118"/>
      <c r="HH40" s="118"/>
      <c r="HI40" s="118"/>
      <c r="HJ40" s="118"/>
      <c r="HK40" s="118"/>
      <c r="HL40" s="118"/>
    </row>
    <row r="41" spans="1:220" s="74" customFormat="1" ht="30" hidden="1" customHeight="1" x14ac:dyDescent="0.35">
      <c r="A41" s="119">
        <v>32</v>
      </c>
      <c r="B41" s="4"/>
      <c r="C41" s="7"/>
      <c r="D41" s="4"/>
      <c r="E41" s="246"/>
      <c r="F41" s="10"/>
      <c r="G41" s="10"/>
      <c r="H41" s="10"/>
      <c r="I41" s="10"/>
      <c r="J41" s="10"/>
      <c r="K41" s="10"/>
      <c r="L41" s="10"/>
      <c r="M41" s="10"/>
      <c r="N41" s="10"/>
      <c r="O41" s="11"/>
      <c r="P41" s="238"/>
      <c r="Q41" s="14"/>
      <c r="R41" s="10"/>
      <c r="S41" s="10"/>
      <c r="T41" s="10"/>
      <c r="U41" s="10"/>
      <c r="V41" s="10"/>
      <c r="W41" s="10"/>
      <c r="X41" s="10"/>
      <c r="Y41" s="10"/>
      <c r="Z41" s="15"/>
      <c r="AA41" s="238"/>
      <c r="AB41" s="14"/>
      <c r="AC41" s="10"/>
      <c r="AD41" s="10"/>
      <c r="AE41" s="10"/>
      <c r="AF41" s="10"/>
      <c r="AG41" s="10"/>
      <c r="AH41" s="10"/>
      <c r="AI41" s="10"/>
      <c r="AJ41" s="10"/>
      <c r="AK41" s="15"/>
      <c r="AL41" s="238"/>
      <c r="AM41" s="14"/>
      <c r="AN41" s="10"/>
      <c r="AO41" s="10"/>
      <c r="AP41" s="10"/>
      <c r="AQ41" s="10"/>
      <c r="AR41" s="10"/>
      <c r="AS41" s="10"/>
      <c r="AT41" s="10"/>
      <c r="AU41" s="10"/>
      <c r="AV41" s="15"/>
      <c r="AW41" s="238"/>
      <c r="AX41" s="14"/>
      <c r="AY41" s="10"/>
      <c r="AZ41" s="10"/>
      <c r="BA41" s="10"/>
      <c r="BB41" s="10"/>
      <c r="BC41" s="10"/>
      <c r="BD41" s="10"/>
      <c r="BE41" s="10"/>
      <c r="BF41" s="10"/>
      <c r="BG41" s="15"/>
      <c r="BH41" s="238"/>
      <c r="BI41" s="14"/>
      <c r="BJ41" s="10"/>
      <c r="BK41" s="10"/>
      <c r="BL41" s="10"/>
      <c r="BM41" s="10"/>
      <c r="BN41" s="10"/>
      <c r="BO41" s="10"/>
      <c r="BP41" s="10"/>
      <c r="BQ41" s="10"/>
      <c r="BR41" s="15"/>
      <c r="BS41" s="238"/>
      <c r="BT41" s="14"/>
      <c r="BU41" s="10"/>
      <c r="BV41" s="10"/>
      <c r="BW41" s="10"/>
      <c r="BX41" s="10"/>
      <c r="BY41" s="10"/>
      <c r="BZ41" s="10"/>
      <c r="CA41" s="10"/>
      <c r="CB41" s="14"/>
      <c r="CC41" s="10"/>
      <c r="CD41" s="10"/>
      <c r="CE41" s="10"/>
      <c r="CF41" s="10"/>
      <c r="CG41" s="10"/>
      <c r="CH41" s="10"/>
      <c r="CI41" s="238"/>
      <c r="CJ41" s="14"/>
      <c r="CK41" s="10"/>
      <c r="CL41" s="10"/>
      <c r="CM41" s="10"/>
      <c r="CN41" s="10"/>
      <c r="CO41" s="10"/>
      <c r="CP41" s="10"/>
      <c r="CQ41" s="10"/>
      <c r="CR41" s="14"/>
      <c r="CS41" s="10"/>
      <c r="CT41" s="10"/>
      <c r="CU41" s="10"/>
      <c r="CV41" s="10"/>
      <c r="CW41" s="10"/>
      <c r="CX41" s="10"/>
      <c r="CY41" s="238"/>
      <c r="CZ41" s="14"/>
      <c r="DA41" s="10"/>
      <c r="DB41" s="10"/>
      <c r="DC41" s="10"/>
      <c r="DD41" s="10"/>
      <c r="DE41" s="10"/>
      <c r="DF41" s="10"/>
      <c r="DG41" s="10"/>
      <c r="DH41" s="14"/>
      <c r="DI41" s="10"/>
      <c r="DJ41" s="10"/>
      <c r="DK41" s="10"/>
      <c r="DL41" s="10"/>
      <c r="DM41" s="10"/>
      <c r="DN41" s="10"/>
      <c r="DO41" s="238"/>
      <c r="DP41" s="14"/>
      <c r="DQ41" s="10"/>
      <c r="DR41" s="10"/>
      <c r="DS41" s="10"/>
      <c r="DT41" s="10"/>
      <c r="DU41" s="10"/>
      <c r="DV41" s="10"/>
      <c r="DW41" s="10"/>
      <c r="DX41" s="14"/>
      <c r="DY41" s="10"/>
      <c r="DZ41" s="10"/>
      <c r="EA41" s="10"/>
      <c r="EB41" s="10"/>
      <c r="EC41" s="10"/>
      <c r="ED41" s="10"/>
      <c r="EE41" s="238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238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238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238"/>
      <c r="FP41" s="14"/>
      <c r="FQ41" s="14"/>
      <c r="FR41" s="14"/>
      <c r="FS41" s="14"/>
      <c r="FT41" s="14"/>
      <c r="FU41" s="238"/>
      <c r="FV41" s="14"/>
      <c r="FW41" s="14"/>
      <c r="FX41" s="14"/>
      <c r="FY41" s="14"/>
      <c r="FZ41" s="14"/>
      <c r="GA41" s="120"/>
      <c r="GB41" s="122" t="str">
        <f t="shared" si="0"/>
        <v/>
      </c>
      <c r="GC41" s="140" t="str">
        <f t="shared" si="1"/>
        <v/>
      </c>
      <c r="GD41" s="122">
        <f t="shared" si="2"/>
        <v>0</v>
      </c>
      <c r="GE41" s="122">
        <f t="shared" si="3"/>
        <v>0</v>
      </c>
      <c r="GF41" s="122">
        <f t="shared" si="4"/>
        <v>0</v>
      </c>
      <c r="GG41" s="122">
        <f t="shared" si="5"/>
        <v>0</v>
      </c>
      <c r="GH41" s="122">
        <f t="shared" si="6"/>
        <v>0</v>
      </c>
      <c r="GI41" s="122">
        <f t="shared" si="7"/>
        <v>0</v>
      </c>
      <c r="GJ41" s="122">
        <f t="shared" si="8"/>
        <v>0</v>
      </c>
      <c r="GK41" s="122">
        <f t="shared" si="9"/>
        <v>0</v>
      </c>
      <c r="GL41" s="122">
        <f t="shared" si="10"/>
        <v>0</v>
      </c>
      <c r="GM41" s="122">
        <f t="shared" si="11"/>
        <v>0</v>
      </c>
      <c r="GN41" s="122">
        <f t="shared" si="12"/>
        <v>0</v>
      </c>
      <c r="GO41" s="122">
        <f t="shared" si="13"/>
        <v>0</v>
      </c>
      <c r="GP41" s="122">
        <f t="shared" si="14"/>
        <v>0</v>
      </c>
      <c r="GQ41" s="122">
        <f t="shared" si="15"/>
        <v>0</v>
      </c>
      <c r="GR41" s="122">
        <f t="shared" si="16"/>
        <v>0</v>
      </c>
      <c r="GS41" s="123">
        <f t="shared" si="17"/>
        <v>0</v>
      </c>
      <c r="GT41"/>
      <c r="GU41"/>
      <c r="GV41"/>
      <c r="GW41"/>
      <c r="GX41" s="118"/>
      <c r="GY41" s="118"/>
      <c r="GZ41" s="118"/>
      <c r="HA41" s="118"/>
      <c r="HB41" s="118"/>
      <c r="HC41" s="118"/>
      <c r="HD41" s="118"/>
      <c r="HE41" s="118"/>
      <c r="HF41" s="118"/>
      <c r="HG41" s="118"/>
      <c r="HH41" s="118"/>
      <c r="HI41" s="118"/>
      <c r="HJ41" s="118"/>
      <c r="HK41" s="118"/>
      <c r="HL41" s="118"/>
    </row>
    <row r="42" spans="1:220" s="74" customFormat="1" ht="30" hidden="1" customHeight="1" x14ac:dyDescent="0.35">
      <c r="A42" s="119">
        <v>33</v>
      </c>
      <c r="B42" s="3"/>
      <c r="C42" s="6"/>
      <c r="D42" s="3"/>
      <c r="E42" s="246"/>
      <c r="F42" s="8"/>
      <c r="G42" s="8"/>
      <c r="H42" s="8"/>
      <c r="I42" s="8"/>
      <c r="J42" s="8"/>
      <c r="K42" s="8"/>
      <c r="L42" s="8"/>
      <c r="M42" s="8"/>
      <c r="N42" s="8"/>
      <c r="O42" s="9"/>
      <c r="P42" s="238"/>
      <c r="Q42" s="12"/>
      <c r="R42" s="8"/>
      <c r="S42" s="8"/>
      <c r="T42" s="8"/>
      <c r="U42" s="8"/>
      <c r="V42" s="8"/>
      <c r="W42" s="8"/>
      <c r="X42" s="8"/>
      <c r="Y42" s="8"/>
      <c r="Z42" s="13"/>
      <c r="AA42" s="238"/>
      <c r="AB42" s="12"/>
      <c r="AC42" s="8"/>
      <c r="AD42" s="8"/>
      <c r="AE42" s="8"/>
      <c r="AF42" s="8"/>
      <c r="AG42" s="8"/>
      <c r="AH42" s="8"/>
      <c r="AI42" s="8"/>
      <c r="AJ42" s="8"/>
      <c r="AK42" s="13"/>
      <c r="AL42" s="238"/>
      <c r="AM42" s="12"/>
      <c r="AN42" s="8"/>
      <c r="AO42" s="8"/>
      <c r="AP42" s="8"/>
      <c r="AQ42" s="8"/>
      <c r="AR42" s="8"/>
      <c r="AS42" s="8"/>
      <c r="AT42" s="8"/>
      <c r="AU42" s="8"/>
      <c r="AV42" s="13"/>
      <c r="AW42" s="238"/>
      <c r="AX42" s="12"/>
      <c r="AY42" s="8"/>
      <c r="AZ42" s="8"/>
      <c r="BA42" s="8"/>
      <c r="BB42" s="8"/>
      <c r="BC42" s="8"/>
      <c r="BD42" s="8"/>
      <c r="BE42" s="8"/>
      <c r="BF42" s="8"/>
      <c r="BG42" s="13"/>
      <c r="BH42" s="238"/>
      <c r="BI42" s="12"/>
      <c r="BJ42" s="8"/>
      <c r="BK42" s="8"/>
      <c r="BL42" s="8"/>
      <c r="BM42" s="8"/>
      <c r="BN42" s="8"/>
      <c r="BO42" s="8"/>
      <c r="BP42" s="8"/>
      <c r="BQ42" s="8"/>
      <c r="BR42" s="13"/>
      <c r="BS42" s="238"/>
      <c r="BT42" s="12"/>
      <c r="BU42" s="8"/>
      <c r="BV42" s="8"/>
      <c r="BW42" s="8"/>
      <c r="BX42" s="8"/>
      <c r="BY42" s="8"/>
      <c r="BZ42" s="8"/>
      <c r="CA42" s="8"/>
      <c r="CB42" s="12"/>
      <c r="CC42" s="8"/>
      <c r="CD42" s="8"/>
      <c r="CE42" s="8"/>
      <c r="CF42" s="8"/>
      <c r="CG42" s="8"/>
      <c r="CH42" s="8"/>
      <c r="CI42" s="238"/>
      <c r="CJ42" s="12"/>
      <c r="CK42" s="8"/>
      <c r="CL42" s="8"/>
      <c r="CM42" s="8"/>
      <c r="CN42" s="8"/>
      <c r="CO42" s="8"/>
      <c r="CP42" s="8"/>
      <c r="CQ42" s="8"/>
      <c r="CR42" s="12"/>
      <c r="CS42" s="8"/>
      <c r="CT42" s="8"/>
      <c r="CU42" s="8"/>
      <c r="CV42" s="8"/>
      <c r="CW42" s="8"/>
      <c r="CX42" s="8"/>
      <c r="CY42" s="238"/>
      <c r="CZ42" s="12"/>
      <c r="DA42" s="8"/>
      <c r="DB42" s="8"/>
      <c r="DC42" s="8"/>
      <c r="DD42" s="8"/>
      <c r="DE42" s="8"/>
      <c r="DF42" s="8"/>
      <c r="DG42" s="8"/>
      <c r="DH42" s="12"/>
      <c r="DI42" s="8"/>
      <c r="DJ42" s="8"/>
      <c r="DK42" s="8"/>
      <c r="DL42" s="8"/>
      <c r="DM42" s="8"/>
      <c r="DN42" s="8"/>
      <c r="DO42" s="238"/>
      <c r="DP42" s="12"/>
      <c r="DQ42" s="8"/>
      <c r="DR42" s="8"/>
      <c r="DS42" s="8"/>
      <c r="DT42" s="8"/>
      <c r="DU42" s="8"/>
      <c r="DV42" s="8"/>
      <c r="DW42" s="8"/>
      <c r="DX42" s="12"/>
      <c r="DY42" s="8"/>
      <c r="DZ42" s="8"/>
      <c r="EA42" s="8"/>
      <c r="EB42" s="8"/>
      <c r="EC42" s="8"/>
      <c r="ED42" s="8"/>
      <c r="EE42" s="238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238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238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238"/>
      <c r="FP42" s="12"/>
      <c r="FQ42" s="12"/>
      <c r="FR42" s="12"/>
      <c r="FS42" s="12"/>
      <c r="FT42" s="12"/>
      <c r="FU42" s="238"/>
      <c r="FV42" s="12"/>
      <c r="FW42" s="12"/>
      <c r="FX42" s="12"/>
      <c r="FY42" s="12"/>
      <c r="FZ42" s="12"/>
      <c r="GA42" s="120"/>
      <c r="GB42" s="118" t="str">
        <f t="shared" ref="GB42:GB73" si="18">IF(B42="","",B42)</f>
        <v/>
      </c>
      <c r="GC42" s="139" t="str">
        <f t="shared" ref="GC42:GC73" si="19">IF(C42="","",C42)</f>
        <v/>
      </c>
      <c r="GD42" s="118">
        <f t="shared" ref="GD42:GD73" si="20">SUM(F42:O42)</f>
        <v>0</v>
      </c>
      <c r="GE42" s="118">
        <f t="shared" ref="GE42:GE73" si="21">SUM(Q42:Z42)</f>
        <v>0</v>
      </c>
      <c r="GF42" s="118">
        <f t="shared" ref="GF42:GF73" si="22">SUM(AB42:AK42)</f>
        <v>0</v>
      </c>
      <c r="GG42" s="118">
        <f t="shared" ref="GG42:GG73" si="23">SUM(AM42:AV42)</f>
        <v>0</v>
      </c>
      <c r="GH42" s="118">
        <f t="shared" ref="GH42:GH73" si="24">SUM(AX42:BG42)</f>
        <v>0</v>
      </c>
      <c r="GI42" s="118">
        <f t="shared" ref="GI42:GI73" si="25">SUM(BI42:BR42)</f>
        <v>0</v>
      </c>
      <c r="GJ42" s="118">
        <f t="shared" ref="GJ42:GJ73" si="26">SUM(BT42:CH42)</f>
        <v>0</v>
      </c>
      <c r="GK42" s="118">
        <f t="shared" ref="GK42:GK73" si="27">SUM(CJ42:CX42)</f>
        <v>0</v>
      </c>
      <c r="GL42" s="118">
        <f t="shared" ref="GL42:GL73" si="28">SUM(CZ42:DN42)</f>
        <v>0</v>
      </c>
      <c r="GM42" s="118">
        <f t="shared" ref="GM42:GM73" si="29">SUM(DP42:ED42)</f>
        <v>0</v>
      </c>
      <c r="GN42" s="118">
        <f t="shared" ref="GN42:GN73" si="30">SUM(EF42:EP42)</f>
        <v>0</v>
      </c>
      <c r="GO42" s="118">
        <f t="shared" ref="GO42:GO73" si="31">SUM(ER42:FB42)</f>
        <v>0</v>
      </c>
      <c r="GP42" s="118">
        <f t="shared" ref="GP42:GP73" si="32">SUM(FD42:FN42)</f>
        <v>0</v>
      </c>
      <c r="GQ42" s="118">
        <f t="shared" ref="GQ42:GQ73" si="33">SUM(FP42:FT42)</f>
        <v>0</v>
      </c>
      <c r="GR42" s="118">
        <f t="shared" ref="GR42:GR73" si="34">SUM(FV42:FZ42)</f>
        <v>0</v>
      </c>
      <c r="GS42" s="121">
        <f t="shared" ref="GS42:GS73" si="35">SUM(GD42:GR42)</f>
        <v>0</v>
      </c>
      <c r="GT42"/>
      <c r="GU42"/>
      <c r="GV42"/>
      <c r="GW42"/>
      <c r="GX42" s="118"/>
      <c r="GY42" s="118"/>
      <c r="GZ42" s="118"/>
      <c r="HA42" s="118"/>
      <c r="HB42" s="118"/>
      <c r="HC42" s="118"/>
      <c r="HD42" s="118"/>
      <c r="HE42" s="118"/>
      <c r="HF42" s="118"/>
      <c r="HG42" s="118"/>
      <c r="HH42" s="118"/>
      <c r="HI42" s="118"/>
      <c r="HJ42" s="118"/>
      <c r="HK42" s="118"/>
      <c r="HL42" s="118"/>
    </row>
    <row r="43" spans="1:220" s="74" customFormat="1" ht="30" hidden="1" customHeight="1" x14ac:dyDescent="0.35">
      <c r="A43" s="119">
        <v>34</v>
      </c>
      <c r="B43" s="4"/>
      <c r="C43" s="7"/>
      <c r="D43" s="4"/>
      <c r="E43" s="246"/>
      <c r="F43" s="10"/>
      <c r="G43" s="10"/>
      <c r="H43" s="10"/>
      <c r="I43" s="10"/>
      <c r="J43" s="10"/>
      <c r="K43" s="10"/>
      <c r="L43" s="10"/>
      <c r="M43" s="10"/>
      <c r="N43" s="10"/>
      <c r="O43" s="11"/>
      <c r="P43" s="238"/>
      <c r="Q43" s="14"/>
      <c r="R43" s="10"/>
      <c r="S43" s="10"/>
      <c r="T43" s="10"/>
      <c r="U43" s="10"/>
      <c r="V43" s="10"/>
      <c r="W43" s="10"/>
      <c r="X43" s="10"/>
      <c r="Y43" s="10"/>
      <c r="Z43" s="15"/>
      <c r="AA43" s="238"/>
      <c r="AB43" s="14"/>
      <c r="AC43" s="10"/>
      <c r="AD43" s="10"/>
      <c r="AE43" s="10"/>
      <c r="AF43" s="10"/>
      <c r="AG43" s="10"/>
      <c r="AH43" s="10"/>
      <c r="AI43" s="10"/>
      <c r="AJ43" s="10"/>
      <c r="AK43" s="15"/>
      <c r="AL43" s="238"/>
      <c r="AM43" s="14"/>
      <c r="AN43" s="10"/>
      <c r="AO43" s="10"/>
      <c r="AP43" s="10"/>
      <c r="AQ43" s="10"/>
      <c r="AR43" s="10"/>
      <c r="AS43" s="10"/>
      <c r="AT43" s="10"/>
      <c r="AU43" s="10"/>
      <c r="AV43" s="15"/>
      <c r="AW43" s="238"/>
      <c r="AX43" s="14"/>
      <c r="AY43" s="10"/>
      <c r="AZ43" s="10"/>
      <c r="BA43" s="10"/>
      <c r="BB43" s="10"/>
      <c r="BC43" s="10"/>
      <c r="BD43" s="10"/>
      <c r="BE43" s="10"/>
      <c r="BF43" s="10"/>
      <c r="BG43" s="15"/>
      <c r="BH43" s="238"/>
      <c r="BI43" s="14"/>
      <c r="BJ43" s="10"/>
      <c r="BK43" s="10"/>
      <c r="BL43" s="10"/>
      <c r="BM43" s="10"/>
      <c r="BN43" s="10"/>
      <c r="BO43" s="10"/>
      <c r="BP43" s="10"/>
      <c r="BQ43" s="10"/>
      <c r="BR43" s="15"/>
      <c r="BS43" s="238"/>
      <c r="BT43" s="14"/>
      <c r="BU43" s="10"/>
      <c r="BV43" s="10"/>
      <c r="BW43" s="10"/>
      <c r="BX43" s="10"/>
      <c r="BY43" s="10"/>
      <c r="BZ43" s="10"/>
      <c r="CA43" s="10"/>
      <c r="CB43" s="14"/>
      <c r="CC43" s="10"/>
      <c r="CD43" s="10"/>
      <c r="CE43" s="10"/>
      <c r="CF43" s="10"/>
      <c r="CG43" s="10"/>
      <c r="CH43" s="10"/>
      <c r="CI43" s="238"/>
      <c r="CJ43" s="14"/>
      <c r="CK43" s="10"/>
      <c r="CL43" s="10"/>
      <c r="CM43" s="10"/>
      <c r="CN43" s="10"/>
      <c r="CO43" s="10"/>
      <c r="CP43" s="10"/>
      <c r="CQ43" s="10"/>
      <c r="CR43" s="14"/>
      <c r="CS43" s="10"/>
      <c r="CT43" s="10"/>
      <c r="CU43" s="10"/>
      <c r="CV43" s="10"/>
      <c r="CW43" s="10"/>
      <c r="CX43" s="10"/>
      <c r="CY43" s="238"/>
      <c r="CZ43" s="14"/>
      <c r="DA43" s="10"/>
      <c r="DB43" s="10"/>
      <c r="DC43" s="10"/>
      <c r="DD43" s="10"/>
      <c r="DE43" s="10"/>
      <c r="DF43" s="10"/>
      <c r="DG43" s="10"/>
      <c r="DH43" s="14"/>
      <c r="DI43" s="10"/>
      <c r="DJ43" s="10"/>
      <c r="DK43" s="10"/>
      <c r="DL43" s="10"/>
      <c r="DM43" s="10"/>
      <c r="DN43" s="10"/>
      <c r="DO43" s="238"/>
      <c r="DP43" s="14"/>
      <c r="DQ43" s="10"/>
      <c r="DR43" s="10"/>
      <c r="DS43" s="10"/>
      <c r="DT43" s="10"/>
      <c r="DU43" s="10"/>
      <c r="DV43" s="10"/>
      <c r="DW43" s="10"/>
      <c r="DX43" s="14"/>
      <c r="DY43" s="10"/>
      <c r="DZ43" s="10"/>
      <c r="EA43" s="10"/>
      <c r="EB43" s="10"/>
      <c r="EC43" s="10"/>
      <c r="ED43" s="10"/>
      <c r="EE43" s="238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238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238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238"/>
      <c r="FP43" s="14"/>
      <c r="FQ43" s="14"/>
      <c r="FR43" s="14"/>
      <c r="FS43" s="14"/>
      <c r="FT43" s="14"/>
      <c r="FU43" s="238"/>
      <c r="FV43" s="14"/>
      <c r="FW43" s="14"/>
      <c r="FX43" s="14"/>
      <c r="FY43" s="14"/>
      <c r="FZ43" s="14"/>
      <c r="GA43" s="120"/>
      <c r="GB43" s="122" t="str">
        <f t="shared" si="18"/>
        <v/>
      </c>
      <c r="GC43" s="140" t="str">
        <f t="shared" si="19"/>
        <v/>
      </c>
      <c r="GD43" s="122">
        <f t="shared" si="20"/>
        <v>0</v>
      </c>
      <c r="GE43" s="122">
        <f t="shared" si="21"/>
        <v>0</v>
      </c>
      <c r="GF43" s="122">
        <f t="shared" si="22"/>
        <v>0</v>
      </c>
      <c r="GG43" s="122">
        <f t="shared" si="23"/>
        <v>0</v>
      </c>
      <c r="GH43" s="122">
        <f t="shared" si="24"/>
        <v>0</v>
      </c>
      <c r="GI43" s="122">
        <f t="shared" si="25"/>
        <v>0</v>
      </c>
      <c r="GJ43" s="122">
        <f t="shared" si="26"/>
        <v>0</v>
      </c>
      <c r="GK43" s="122">
        <f t="shared" si="27"/>
        <v>0</v>
      </c>
      <c r="GL43" s="122">
        <f t="shared" si="28"/>
        <v>0</v>
      </c>
      <c r="GM43" s="122">
        <f t="shared" si="29"/>
        <v>0</v>
      </c>
      <c r="GN43" s="122">
        <f t="shared" si="30"/>
        <v>0</v>
      </c>
      <c r="GO43" s="122">
        <f t="shared" si="31"/>
        <v>0</v>
      </c>
      <c r="GP43" s="122">
        <f t="shared" si="32"/>
        <v>0</v>
      </c>
      <c r="GQ43" s="122">
        <f t="shared" si="33"/>
        <v>0</v>
      </c>
      <c r="GR43" s="122">
        <f t="shared" si="34"/>
        <v>0</v>
      </c>
      <c r="GS43" s="123">
        <f t="shared" si="35"/>
        <v>0</v>
      </c>
      <c r="GT43"/>
      <c r="GU43"/>
      <c r="GV43"/>
      <c r="GW43"/>
      <c r="GX43" s="118"/>
      <c r="GY43" s="118"/>
      <c r="GZ43" s="118"/>
      <c r="HA43" s="118"/>
      <c r="HB43" s="118"/>
      <c r="HC43" s="118"/>
      <c r="HD43" s="118"/>
      <c r="HE43" s="118"/>
      <c r="HF43" s="118"/>
      <c r="HG43" s="118"/>
      <c r="HH43" s="118"/>
      <c r="HI43" s="118"/>
      <c r="HJ43" s="118"/>
      <c r="HK43" s="118"/>
      <c r="HL43" s="118"/>
    </row>
    <row r="44" spans="1:220" s="74" customFormat="1" ht="30" hidden="1" customHeight="1" x14ac:dyDescent="0.35">
      <c r="A44" s="119">
        <v>35</v>
      </c>
      <c r="B44" s="3"/>
      <c r="C44" s="6"/>
      <c r="D44" s="3"/>
      <c r="E44" s="246"/>
      <c r="F44" s="8"/>
      <c r="G44" s="8"/>
      <c r="H44" s="8"/>
      <c r="I44" s="8"/>
      <c r="J44" s="8"/>
      <c r="K44" s="8"/>
      <c r="L44" s="8"/>
      <c r="M44" s="8"/>
      <c r="N44" s="8"/>
      <c r="O44" s="9"/>
      <c r="P44" s="238"/>
      <c r="Q44" s="12"/>
      <c r="R44" s="8"/>
      <c r="S44" s="8"/>
      <c r="T44" s="8"/>
      <c r="U44" s="8"/>
      <c r="V44" s="8"/>
      <c r="W44" s="8"/>
      <c r="X44" s="8"/>
      <c r="Y44" s="8"/>
      <c r="Z44" s="13"/>
      <c r="AA44" s="238"/>
      <c r="AB44" s="12"/>
      <c r="AC44" s="8"/>
      <c r="AD44" s="8"/>
      <c r="AE44" s="8"/>
      <c r="AF44" s="8"/>
      <c r="AG44" s="8"/>
      <c r="AH44" s="8"/>
      <c r="AI44" s="8"/>
      <c r="AJ44" s="8"/>
      <c r="AK44" s="13"/>
      <c r="AL44" s="238"/>
      <c r="AM44" s="12"/>
      <c r="AN44" s="8"/>
      <c r="AO44" s="8"/>
      <c r="AP44" s="8"/>
      <c r="AQ44" s="8"/>
      <c r="AR44" s="8"/>
      <c r="AS44" s="8"/>
      <c r="AT44" s="8"/>
      <c r="AU44" s="8"/>
      <c r="AV44" s="13"/>
      <c r="AW44" s="238"/>
      <c r="AX44" s="12"/>
      <c r="AY44" s="8"/>
      <c r="AZ44" s="8"/>
      <c r="BA44" s="8"/>
      <c r="BB44" s="8"/>
      <c r="BC44" s="8"/>
      <c r="BD44" s="8"/>
      <c r="BE44" s="8"/>
      <c r="BF44" s="8"/>
      <c r="BG44" s="13"/>
      <c r="BH44" s="238"/>
      <c r="BI44" s="12"/>
      <c r="BJ44" s="8"/>
      <c r="BK44" s="8"/>
      <c r="BL44" s="8"/>
      <c r="BM44" s="8"/>
      <c r="BN44" s="8"/>
      <c r="BO44" s="8"/>
      <c r="BP44" s="8"/>
      <c r="BQ44" s="8"/>
      <c r="BR44" s="13"/>
      <c r="BS44" s="238"/>
      <c r="BT44" s="12"/>
      <c r="BU44" s="8"/>
      <c r="BV44" s="8"/>
      <c r="BW44" s="8"/>
      <c r="BX44" s="8"/>
      <c r="BY44" s="8"/>
      <c r="BZ44" s="8"/>
      <c r="CA44" s="8"/>
      <c r="CB44" s="12"/>
      <c r="CC44" s="8"/>
      <c r="CD44" s="8"/>
      <c r="CE44" s="8"/>
      <c r="CF44" s="8"/>
      <c r="CG44" s="8"/>
      <c r="CH44" s="8"/>
      <c r="CI44" s="238"/>
      <c r="CJ44" s="12"/>
      <c r="CK44" s="8"/>
      <c r="CL44" s="8"/>
      <c r="CM44" s="8"/>
      <c r="CN44" s="8"/>
      <c r="CO44" s="8"/>
      <c r="CP44" s="8"/>
      <c r="CQ44" s="8"/>
      <c r="CR44" s="12"/>
      <c r="CS44" s="8"/>
      <c r="CT44" s="8"/>
      <c r="CU44" s="8"/>
      <c r="CV44" s="8"/>
      <c r="CW44" s="8"/>
      <c r="CX44" s="8"/>
      <c r="CY44" s="238"/>
      <c r="CZ44" s="12"/>
      <c r="DA44" s="8"/>
      <c r="DB44" s="8"/>
      <c r="DC44" s="8"/>
      <c r="DD44" s="8"/>
      <c r="DE44" s="8"/>
      <c r="DF44" s="8"/>
      <c r="DG44" s="8"/>
      <c r="DH44" s="12"/>
      <c r="DI44" s="8"/>
      <c r="DJ44" s="8"/>
      <c r="DK44" s="8"/>
      <c r="DL44" s="8"/>
      <c r="DM44" s="8"/>
      <c r="DN44" s="8"/>
      <c r="DO44" s="238"/>
      <c r="DP44" s="12"/>
      <c r="DQ44" s="8"/>
      <c r="DR44" s="8"/>
      <c r="DS44" s="8"/>
      <c r="DT44" s="8"/>
      <c r="DU44" s="8"/>
      <c r="DV44" s="8"/>
      <c r="DW44" s="8"/>
      <c r="DX44" s="12"/>
      <c r="DY44" s="8"/>
      <c r="DZ44" s="8"/>
      <c r="EA44" s="8"/>
      <c r="EB44" s="8"/>
      <c r="EC44" s="8"/>
      <c r="ED44" s="8"/>
      <c r="EE44" s="238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238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238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238"/>
      <c r="FP44" s="12"/>
      <c r="FQ44" s="12"/>
      <c r="FR44" s="12"/>
      <c r="FS44" s="12"/>
      <c r="FT44" s="12"/>
      <c r="FU44" s="238"/>
      <c r="FV44" s="12"/>
      <c r="FW44" s="12"/>
      <c r="FX44" s="12"/>
      <c r="FY44" s="12"/>
      <c r="FZ44" s="12"/>
      <c r="GA44" s="120"/>
      <c r="GB44" s="118" t="str">
        <f t="shared" si="18"/>
        <v/>
      </c>
      <c r="GC44" s="139" t="str">
        <f t="shared" si="19"/>
        <v/>
      </c>
      <c r="GD44" s="118">
        <f t="shared" si="20"/>
        <v>0</v>
      </c>
      <c r="GE44" s="118">
        <f t="shared" si="21"/>
        <v>0</v>
      </c>
      <c r="GF44" s="118">
        <f t="shared" si="22"/>
        <v>0</v>
      </c>
      <c r="GG44" s="118">
        <f t="shared" si="23"/>
        <v>0</v>
      </c>
      <c r="GH44" s="118">
        <f t="shared" si="24"/>
        <v>0</v>
      </c>
      <c r="GI44" s="118">
        <f t="shared" si="25"/>
        <v>0</v>
      </c>
      <c r="GJ44" s="118">
        <f t="shared" si="26"/>
        <v>0</v>
      </c>
      <c r="GK44" s="118">
        <f t="shared" si="27"/>
        <v>0</v>
      </c>
      <c r="GL44" s="118">
        <f t="shared" si="28"/>
        <v>0</v>
      </c>
      <c r="GM44" s="118">
        <f t="shared" si="29"/>
        <v>0</v>
      </c>
      <c r="GN44" s="118">
        <f t="shared" si="30"/>
        <v>0</v>
      </c>
      <c r="GO44" s="118">
        <f t="shared" si="31"/>
        <v>0</v>
      </c>
      <c r="GP44" s="118">
        <f t="shared" si="32"/>
        <v>0</v>
      </c>
      <c r="GQ44" s="118">
        <f t="shared" si="33"/>
        <v>0</v>
      </c>
      <c r="GR44" s="118">
        <f t="shared" si="34"/>
        <v>0</v>
      </c>
      <c r="GS44" s="121">
        <f t="shared" si="35"/>
        <v>0</v>
      </c>
      <c r="GT44"/>
      <c r="GU44"/>
      <c r="GV44"/>
      <c r="GW44"/>
      <c r="GX44" s="118"/>
      <c r="GY44" s="118"/>
      <c r="GZ44" s="118"/>
      <c r="HA44" s="118"/>
      <c r="HB44" s="118"/>
      <c r="HC44" s="118"/>
      <c r="HD44" s="118"/>
      <c r="HE44" s="118"/>
      <c r="HF44" s="118"/>
      <c r="HG44" s="118"/>
      <c r="HH44" s="118"/>
      <c r="HI44" s="118"/>
      <c r="HJ44" s="118"/>
      <c r="HK44" s="118"/>
      <c r="HL44" s="118"/>
    </row>
    <row r="45" spans="1:220" s="74" customFormat="1" ht="30" hidden="1" customHeight="1" x14ac:dyDescent="0.35">
      <c r="A45" s="119">
        <v>36</v>
      </c>
      <c r="B45" s="4"/>
      <c r="C45" s="7"/>
      <c r="D45" s="4"/>
      <c r="E45" s="246"/>
      <c r="F45" s="10"/>
      <c r="G45" s="10"/>
      <c r="H45" s="10"/>
      <c r="I45" s="10"/>
      <c r="J45" s="10"/>
      <c r="K45" s="10"/>
      <c r="L45" s="10"/>
      <c r="M45" s="10"/>
      <c r="N45" s="10"/>
      <c r="O45" s="11"/>
      <c r="P45" s="238"/>
      <c r="Q45" s="14"/>
      <c r="R45" s="10"/>
      <c r="S45" s="10"/>
      <c r="T45" s="10"/>
      <c r="U45" s="10"/>
      <c r="V45" s="10"/>
      <c r="W45" s="10"/>
      <c r="X45" s="10"/>
      <c r="Y45" s="10"/>
      <c r="Z45" s="15"/>
      <c r="AA45" s="238"/>
      <c r="AB45" s="14"/>
      <c r="AC45" s="10"/>
      <c r="AD45" s="10"/>
      <c r="AE45" s="10"/>
      <c r="AF45" s="10"/>
      <c r="AG45" s="10"/>
      <c r="AH45" s="10"/>
      <c r="AI45" s="10"/>
      <c r="AJ45" s="10"/>
      <c r="AK45" s="15"/>
      <c r="AL45" s="238"/>
      <c r="AM45" s="14"/>
      <c r="AN45" s="10"/>
      <c r="AO45" s="10"/>
      <c r="AP45" s="10"/>
      <c r="AQ45" s="10"/>
      <c r="AR45" s="10"/>
      <c r="AS45" s="10"/>
      <c r="AT45" s="10"/>
      <c r="AU45" s="10"/>
      <c r="AV45" s="15"/>
      <c r="AW45" s="238"/>
      <c r="AX45" s="14"/>
      <c r="AY45" s="10"/>
      <c r="AZ45" s="10"/>
      <c r="BA45" s="10"/>
      <c r="BB45" s="10"/>
      <c r="BC45" s="10"/>
      <c r="BD45" s="10"/>
      <c r="BE45" s="10"/>
      <c r="BF45" s="10"/>
      <c r="BG45" s="15"/>
      <c r="BH45" s="238"/>
      <c r="BI45" s="14"/>
      <c r="BJ45" s="10"/>
      <c r="BK45" s="10"/>
      <c r="BL45" s="10"/>
      <c r="BM45" s="10"/>
      <c r="BN45" s="10"/>
      <c r="BO45" s="10"/>
      <c r="BP45" s="10"/>
      <c r="BQ45" s="10"/>
      <c r="BR45" s="15"/>
      <c r="BS45" s="238"/>
      <c r="BT45" s="14"/>
      <c r="BU45" s="10"/>
      <c r="BV45" s="10"/>
      <c r="BW45" s="10"/>
      <c r="BX45" s="10"/>
      <c r="BY45" s="10"/>
      <c r="BZ45" s="10"/>
      <c r="CA45" s="10"/>
      <c r="CB45" s="14"/>
      <c r="CC45" s="10"/>
      <c r="CD45" s="10"/>
      <c r="CE45" s="10"/>
      <c r="CF45" s="10"/>
      <c r="CG45" s="10"/>
      <c r="CH45" s="10"/>
      <c r="CI45" s="238"/>
      <c r="CJ45" s="14"/>
      <c r="CK45" s="10"/>
      <c r="CL45" s="10"/>
      <c r="CM45" s="10"/>
      <c r="CN45" s="10"/>
      <c r="CO45" s="10"/>
      <c r="CP45" s="10"/>
      <c r="CQ45" s="10"/>
      <c r="CR45" s="14"/>
      <c r="CS45" s="10"/>
      <c r="CT45" s="10"/>
      <c r="CU45" s="10"/>
      <c r="CV45" s="10"/>
      <c r="CW45" s="10"/>
      <c r="CX45" s="10"/>
      <c r="CY45" s="238"/>
      <c r="CZ45" s="14"/>
      <c r="DA45" s="10"/>
      <c r="DB45" s="10"/>
      <c r="DC45" s="10"/>
      <c r="DD45" s="10"/>
      <c r="DE45" s="10"/>
      <c r="DF45" s="10"/>
      <c r="DG45" s="10"/>
      <c r="DH45" s="14"/>
      <c r="DI45" s="10"/>
      <c r="DJ45" s="10"/>
      <c r="DK45" s="10"/>
      <c r="DL45" s="10"/>
      <c r="DM45" s="10"/>
      <c r="DN45" s="10"/>
      <c r="DO45" s="238"/>
      <c r="DP45" s="14"/>
      <c r="DQ45" s="10"/>
      <c r="DR45" s="10"/>
      <c r="DS45" s="10"/>
      <c r="DT45" s="10"/>
      <c r="DU45" s="10"/>
      <c r="DV45" s="10"/>
      <c r="DW45" s="10"/>
      <c r="DX45" s="14"/>
      <c r="DY45" s="10"/>
      <c r="DZ45" s="10"/>
      <c r="EA45" s="10"/>
      <c r="EB45" s="10"/>
      <c r="EC45" s="10"/>
      <c r="ED45" s="10"/>
      <c r="EE45" s="238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238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238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238"/>
      <c r="FP45" s="14"/>
      <c r="FQ45" s="14"/>
      <c r="FR45" s="14"/>
      <c r="FS45" s="14"/>
      <c r="FT45" s="14"/>
      <c r="FU45" s="238"/>
      <c r="FV45" s="14"/>
      <c r="FW45" s="14"/>
      <c r="FX45" s="14"/>
      <c r="FY45" s="14"/>
      <c r="FZ45" s="14"/>
      <c r="GA45" s="120"/>
      <c r="GB45" s="122" t="str">
        <f t="shared" si="18"/>
        <v/>
      </c>
      <c r="GC45" s="140" t="str">
        <f t="shared" si="19"/>
        <v/>
      </c>
      <c r="GD45" s="122">
        <f t="shared" si="20"/>
        <v>0</v>
      </c>
      <c r="GE45" s="122">
        <f t="shared" si="21"/>
        <v>0</v>
      </c>
      <c r="GF45" s="122">
        <f t="shared" si="22"/>
        <v>0</v>
      </c>
      <c r="GG45" s="122">
        <f t="shared" si="23"/>
        <v>0</v>
      </c>
      <c r="GH45" s="122">
        <f t="shared" si="24"/>
        <v>0</v>
      </c>
      <c r="GI45" s="122">
        <f t="shared" si="25"/>
        <v>0</v>
      </c>
      <c r="GJ45" s="122">
        <f t="shared" si="26"/>
        <v>0</v>
      </c>
      <c r="GK45" s="122">
        <f t="shared" si="27"/>
        <v>0</v>
      </c>
      <c r="GL45" s="122">
        <f t="shared" si="28"/>
        <v>0</v>
      </c>
      <c r="GM45" s="122">
        <f t="shared" si="29"/>
        <v>0</v>
      </c>
      <c r="GN45" s="122">
        <f t="shared" si="30"/>
        <v>0</v>
      </c>
      <c r="GO45" s="122">
        <f t="shared" si="31"/>
        <v>0</v>
      </c>
      <c r="GP45" s="122">
        <f t="shared" si="32"/>
        <v>0</v>
      </c>
      <c r="GQ45" s="122">
        <f t="shared" si="33"/>
        <v>0</v>
      </c>
      <c r="GR45" s="122">
        <f t="shared" si="34"/>
        <v>0</v>
      </c>
      <c r="GS45" s="123">
        <f t="shared" si="35"/>
        <v>0</v>
      </c>
      <c r="GT45"/>
      <c r="GU45"/>
      <c r="GV45"/>
      <c r="GW45"/>
      <c r="GX45" s="118"/>
      <c r="GY45" s="118"/>
      <c r="GZ45" s="118"/>
      <c r="HA45" s="118"/>
      <c r="HB45" s="118"/>
      <c r="HC45" s="118"/>
      <c r="HD45" s="118"/>
      <c r="HE45" s="118"/>
      <c r="HF45" s="118"/>
      <c r="HG45" s="118"/>
      <c r="HH45" s="118"/>
      <c r="HI45" s="118"/>
      <c r="HJ45" s="118"/>
      <c r="HK45" s="118"/>
      <c r="HL45" s="118"/>
    </row>
    <row r="46" spans="1:220" s="74" customFormat="1" ht="30" hidden="1" customHeight="1" x14ac:dyDescent="0.35">
      <c r="A46" s="119">
        <v>37</v>
      </c>
      <c r="B46" s="3"/>
      <c r="C46" s="6"/>
      <c r="D46" s="3"/>
      <c r="E46" s="246"/>
      <c r="F46" s="8"/>
      <c r="G46" s="8"/>
      <c r="H46" s="8"/>
      <c r="I46" s="8"/>
      <c r="J46" s="8"/>
      <c r="K46" s="8"/>
      <c r="L46" s="8"/>
      <c r="M46" s="8"/>
      <c r="N46" s="8"/>
      <c r="O46" s="9"/>
      <c r="P46" s="238"/>
      <c r="Q46" s="12"/>
      <c r="R46" s="8"/>
      <c r="S46" s="8"/>
      <c r="T46" s="8"/>
      <c r="U46" s="8"/>
      <c r="V46" s="8"/>
      <c r="W46" s="8"/>
      <c r="X46" s="8"/>
      <c r="Y46" s="8"/>
      <c r="Z46" s="13"/>
      <c r="AA46" s="238"/>
      <c r="AB46" s="12"/>
      <c r="AC46" s="8"/>
      <c r="AD46" s="8"/>
      <c r="AE46" s="8"/>
      <c r="AF46" s="8"/>
      <c r="AG46" s="8"/>
      <c r="AH46" s="8"/>
      <c r="AI46" s="8"/>
      <c r="AJ46" s="8"/>
      <c r="AK46" s="13"/>
      <c r="AL46" s="238"/>
      <c r="AM46" s="12"/>
      <c r="AN46" s="8"/>
      <c r="AO46" s="8"/>
      <c r="AP46" s="8"/>
      <c r="AQ46" s="8"/>
      <c r="AR46" s="8"/>
      <c r="AS46" s="8"/>
      <c r="AT46" s="8"/>
      <c r="AU46" s="8"/>
      <c r="AV46" s="13"/>
      <c r="AW46" s="238"/>
      <c r="AX46" s="12"/>
      <c r="AY46" s="8"/>
      <c r="AZ46" s="8"/>
      <c r="BA46" s="8"/>
      <c r="BB46" s="8"/>
      <c r="BC46" s="8"/>
      <c r="BD46" s="8"/>
      <c r="BE46" s="8"/>
      <c r="BF46" s="8"/>
      <c r="BG46" s="13"/>
      <c r="BH46" s="238"/>
      <c r="BI46" s="12"/>
      <c r="BJ46" s="8"/>
      <c r="BK46" s="8"/>
      <c r="BL46" s="8"/>
      <c r="BM46" s="8"/>
      <c r="BN46" s="8"/>
      <c r="BO46" s="8"/>
      <c r="BP46" s="8"/>
      <c r="BQ46" s="8"/>
      <c r="BR46" s="13"/>
      <c r="BS46" s="238"/>
      <c r="BT46" s="12"/>
      <c r="BU46" s="8"/>
      <c r="BV46" s="8"/>
      <c r="BW46" s="8"/>
      <c r="BX46" s="8"/>
      <c r="BY46" s="8"/>
      <c r="BZ46" s="8"/>
      <c r="CA46" s="8"/>
      <c r="CB46" s="12"/>
      <c r="CC46" s="8"/>
      <c r="CD46" s="8"/>
      <c r="CE46" s="8"/>
      <c r="CF46" s="8"/>
      <c r="CG46" s="8"/>
      <c r="CH46" s="8"/>
      <c r="CI46" s="238"/>
      <c r="CJ46" s="12"/>
      <c r="CK46" s="8"/>
      <c r="CL46" s="8"/>
      <c r="CM46" s="8"/>
      <c r="CN46" s="8"/>
      <c r="CO46" s="8"/>
      <c r="CP46" s="8"/>
      <c r="CQ46" s="8"/>
      <c r="CR46" s="12"/>
      <c r="CS46" s="8"/>
      <c r="CT46" s="8"/>
      <c r="CU46" s="8"/>
      <c r="CV46" s="8"/>
      <c r="CW46" s="8"/>
      <c r="CX46" s="8"/>
      <c r="CY46" s="238"/>
      <c r="CZ46" s="12"/>
      <c r="DA46" s="8"/>
      <c r="DB46" s="8"/>
      <c r="DC46" s="8"/>
      <c r="DD46" s="8"/>
      <c r="DE46" s="8"/>
      <c r="DF46" s="8"/>
      <c r="DG46" s="8"/>
      <c r="DH46" s="12"/>
      <c r="DI46" s="8"/>
      <c r="DJ46" s="8"/>
      <c r="DK46" s="8"/>
      <c r="DL46" s="8"/>
      <c r="DM46" s="8"/>
      <c r="DN46" s="8"/>
      <c r="DO46" s="238"/>
      <c r="DP46" s="12"/>
      <c r="DQ46" s="8"/>
      <c r="DR46" s="8"/>
      <c r="DS46" s="8"/>
      <c r="DT46" s="8"/>
      <c r="DU46" s="8"/>
      <c r="DV46" s="8"/>
      <c r="DW46" s="8"/>
      <c r="DX46" s="12"/>
      <c r="DY46" s="8"/>
      <c r="DZ46" s="8"/>
      <c r="EA46" s="8"/>
      <c r="EB46" s="8"/>
      <c r="EC46" s="8"/>
      <c r="ED46" s="8"/>
      <c r="EE46" s="238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238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238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238"/>
      <c r="FP46" s="12"/>
      <c r="FQ46" s="12"/>
      <c r="FR46" s="12"/>
      <c r="FS46" s="12"/>
      <c r="FT46" s="12"/>
      <c r="FU46" s="238"/>
      <c r="FV46" s="12"/>
      <c r="FW46" s="12"/>
      <c r="FX46" s="12"/>
      <c r="FY46" s="12"/>
      <c r="FZ46" s="12"/>
      <c r="GA46" s="120"/>
      <c r="GB46" s="118" t="str">
        <f t="shared" si="18"/>
        <v/>
      </c>
      <c r="GC46" s="139" t="str">
        <f t="shared" si="19"/>
        <v/>
      </c>
      <c r="GD46" s="118">
        <f t="shared" si="20"/>
        <v>0</v>
      </c>
      <c r="GE46" s="118">
        <f t="shared" si="21"/>
        <v>0</v>
      </c>
      <c r="GF46" s="118">
        <f t="shared" si="22"/>
        <v>0</v>
      </c>
      <c r="GG46" s="118">
        <f t="shared" si="23"/>
        <v>0</v>
      </c>
      <c r="GH46" s="118">
        <f t="shared" si="24"/>
        <v>0</v>
      </c>
      <c r="GI46" s="118">
        <f t="shared" si="25"/>
        <v>0</v>
      </c>
      <c r="GJ46" s="118">
        <f t="shared" si="26"/>
        <v>0</v>
      </c>
      <c r="GK46" s="118">
        <f t="shared" si="27"/>
        <v>0</v>
      </c>
      <c r="GL46" s="118">
        <f t="shared" si="28"/>
        <v>0</v>
      </c>
      <c r="GM46" s="118">
        <f t="shared" si="29"/>
        <v>0</v>
      </c>
      <c r="GN46" s="118">
        <f t="shared" si="30"/>
        <v>0</v>
      </c>
      <c r="GO46" s="118">
        <f t="shared" si="31"/>
        <v>0</v>
      </c>
      <c r="GP46" s="118">
        <f t="shared" si="32"/>
        <v>0</v>
      </c>
      <c r="GQ46" s="118">
        <f t="shared" si="33"/>
        <v>0</v>
      </c>
      <c r="GR46" s="118">
        <f t="shared" si="34"/>
        <v>0</v>
      </c>
      <c r="GS46" s="121">
        <f t="shared" si="35"/>
        <v>0</v>
      </c>
      <c r="GT46"/>
      <c r="GU46"/>
      <c r="GV46"/>
      <c r="GW46"/>
      <c r="GX46" s="118"/>
      <c r="GY46" s="118"/>
      <c r="GZ46" s="118"/>
      <c r="HA46" s="118"/>
      <c r="HB46" s="118"/>
      <c r="HC46" s="118"/>
      <c r="HD46" s="118"/>
      <c r="HE46" s="118"/>
      <c r="HF46" s="118"/>
      <c r="HG46" s="118"/>
      <c r="HH46" s="118"/>
      <c r="HI46" s="118"/>
      <c r="HJ46" s="118"/>
      <c r="HK46" s="118"/>
      <c r="HL46" s="118"/>
    </row>
    <row r="47" spans="1:220" s="74" customFormat="1" ht="30" hidden="1" customHeight="1" x14ac:dyDescent="0.35">
      <c r="A47" s="119">
        <v>38</v>
      </c>
      <c r="B47" s="4"/>
      <c r="C47" s="7"/>
      <c r="D47" s="4"/>
      <c r="E47" s="246"/>
      <c r="F47" s="10"/>
      <c r="G47" s="10"/>
      <c r="H47" s="10"/>
      <c r="I47" s="10"/>
      <c r="J47" s="10"/>
      <c r="K47" s="10"/>
      <c r="L47" s="10"/>
      <c r="M47" s="10"/>
      <c r="N47" s="10"/>
      <c r="O47" s="11"/>
      <c r="P47" s="238"/>
      <c r="Q47" s="14"/>
      <c r="R47" s="10"/>
      <c r="S47" s="10"/>
      <c r="T47" s="10"/>
      <c r="U47" s="10"/>
      <c r="V47" s="10"/>
      <c r="W47" s="10"/>
      <c r="X47" s="10"/>
      <c r="Y47" s="10"/>
      <c r="Z47" s="15"/>
      <c r="AA47" s="238"/>
      <c r="AB47" s="14"/>
      <c r="AC47" s="10"/>
      <c r="AD47" s="10"/>
      <c r="AE47" s="10"/>
      <c r="AF47" s="10"/>
      <c r="AG47" s="10"/>
      <c r="AH47" s="10"/>
      <c r="AI47" s="10"/>
      <c r="AJ47" s="10"/>
      <c r="AK47" s="15"/>
      <c r="AL47" s="238"/>
      <c r="AM47" s="14"/>
      <c r="AN47" s="10"/>
      <c r="AO47" s="10"/>
      <c r="AP47" s="10"/>
      <c r="AQ47" s="10"/>
      <c r="AR47" s="10"/>
      <c r="AS47" s="10"/>
      <c r="AT47" s="10"/>
      <c r="AU47" s="10"/>
      <c r="AV47" s="15"/>
      <c r="AW47" s="238"/>
      <c r="AX47" s="14"/>
      <c r="AY47" s="10"/>
      <c r="AZ47" s="10"/>
      <c r="BA47" s="10"/>
      <c r="BB47" s="10"/>
      <c r="BC47" s="10"/>
      <c r="BD47" s="10"/>
      <c r="BE47" s="10"/>
      <c r="BF47" s="10"/>
      <c r="BG47" s="15"/>
      <c r="BH47" s="238"/>
      <c r="BI47" s="14"/>
      <c r="BJ47" s="10"/>
      <c r="BK47" s="10"/>
      <c r="BL47" s="10"/>
      <c r="BM47" s="10"/>
      <c r="BN47" s="10"/>
      <c r="BO47" s="10"/>
      <c r="BP47" s="10"/>
      <c r="BQ47" s="10"/>
      <c r="BR47" s="15"/>
      <c r="BS47" s="238"/>
      <c r="BT47" s="14"/>
      <c r="BU47" s="10"/>
      <c r="BV47" s="10"/>
      <c r="BW47" s="10"/>
      <c r="BX47" s="10"/>
      <c r="BY47" s="10"/>
      <c r="BZ47" s="10"/>
      <c r="CA47" s="10"/>
      <c r="CB47" s="14"/>
      <c r="CC47" s="10"/>
      <c r="CD47" s="10"/>
      <c r="CE47" s="10"/>
      <c r="CF47" s="10"/>
      <c r="CG47" s="10"/>
      <c r="CH47" s="10"/>
      <c r="CI47" s="238"/>
      <c r="CJ47" s="14"/>
      <c r="CK47" s="10"/>
      <c r="CL47" s="10"/>
      <c r="CM47" s="10"/>
      <c r="CN47" s="10"/>
      <c r="CO47" s="10"/>
      <c r="CP47" s="10"/>
      <c r="CQ47" s="10"/>
      <c r="CR47" s="14"/>
      <c r="CS47" s="10"/>
      <c r="CT47" s="10"/>
      <c r="CU47" s="10"/>
      <c r="CV47" s="10"/>
      <c r="CW47" s="10"/>
      <c r="CX47" s="10"/>
      <c r="CY47" s="238"/>
      <c r="CZ47" s="14"/>
      <c r="DA47" s="10"/>
      <c r="DB47" s="10"/>
      <c r="DC47" s="10"/>
      <c r="DD47" s="10"/>
      <c r="DE47" s="10"/>
      <c r="DF47" s="10"/>
      <c r="DG47" s="10"/>
      <c r="DH47" s="14"/>
      <c r="DI47" s="10"/>
      <c r="DJ47" s="10"/>
      <c r="DK47" s="10"/>
      <c r="DL47" s="10"/>
      <c r="DM47" s="10"/>
      <c r="DN47" s="10"/>
      <c r="DO47" s="238"/>
      <c r="DP47" s="14"/>
      <c r="DQ47" s="10"/>
      <c r="DR47" s="10"/>
      <c r="DS47" s="10"/>
      <c r="DT47" s="10"/>
      <c r="DU47" s="10"/>
      <c r="DV47" s="10"/>
      <c r="DW47" s="10"/>
      <c r="DX47" s="14"/>
      <c r="DY47" s="10"/>
      <c r="DZ47" s="10"/>
      <c r="EA47" s="10"/>
      <c r="EB47" s="10"/>
      <c r="EC47" s="10"/>
      <c r="ED47" s="10"/>
      <c r="EE47" s="238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238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238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238"/>
      <c r="FP47" s="14"/>
      <c r="FQ47" s="14"/>
      <c r="FR47" s="14"/>
      <c r="FS47" s="14"/>
      <c r="FT47" s="14"/>
      <c r="FU47" s="238"/>
      <c r="FV47" s="14"/>
      <c r="FW47" s="14"/>
      <c r="FX47" s="14"/>
      <c r="FY47" s="14"/>
      <c r="FZ47" s="14"/>
      <c r="GA47" s="120"/>
      <c r="GB47" s="122" t="str">
        <f t="shared" si="18"/>
        <v/>
      </c>
      <c r="GC47" s="140" t="str">
        <f t="shared" si="19"/>
        <v/>
      </c>
      <c r="GD47" s="122">
        <f t="shared" si="20"/>
        <v>0</v>
      </c>
      <c r="GE47" s="122">
        <f t="shared" si="21"/>
        <v>0</v>
      </c>
      <c r="GF47" s="122">
        <f t="shared" si="22"/>
        <v>0</v>
      </c>
      <c r="GG47" s="122">
        <f t="shared" si="23"/>
        <v>0</v>
      </c>
      <c r="GH47" s="122">
        <f t="shared" si="24"/>
        <v>0</v>
      </c>
      <c r="GI47" s="122">
        <f t="shared" si="25"/>
        <v>0</v>
      </c>
      <c r="GJ47" s="122">
        <f t="shared" si="26"/>
        <v>0</v>
      </c>
      <c r="GK47" s="122">
        <f t="shared" si="27"/>
        <v>0</v>
      </c>
      <c r="GL47" s="122">
        <f t="shared" si="28"/>
        <v>0</v>
      </c>
      <c r="GM47" s="122">
        <f t="shared" si="29"/>
        <v>0</v>
      </c>
      <c r="GN47" s="122">
        <f t="shared" si="30"/>
        <v>0</v>
      </c>
      <c r="GO47" s="122">
        <f t="shared" si="31"/>
        <v>0</v>
      </c>
      <c r="GP47" s="122">
        <f t="shared" si="32"/>
        <v>0</v>
      </c>
      <c r="GQ47" s="122">
        <f t="shared" si="33"/>
        <v>0</v>
      </c>
      <c r="GR47" s="122">
        <f t="shared" si="34"/>
        <v>0</v>
      </c>
      <c r="GS47" s="123">
        <f t="shared" si="35"/>
        <v>0</v>
      </c>
      <c r="GT47"/>
      <c r="GU47"/>
      <c r="GV47"/>
      <c r="GW47"/>
      <c r="GX47" s="118"/>
      <c r="GY47" s="118"/>
      <c r="GZ47" s="118"/>
      <c r="HA47" s="118"/>
      <c r="HB47" s="118"/>
      <c r="HC47" s="118"/>
      <c r="HD47" s="118"/>
      <c r="HE47" s="118"/>
      <c r="HF47" s="118"/>
      <c r="HG47" s="118"/>
      <c r="HH47" s="118"/>
      <c r="HI47" s="118"/>
      <c r="HJ47" s="118"/>
      <c r="HK47" s="118"/>
      <c r="HL47" s="118"/>
    </row>
    <row r="48" spans="1:220" s="74" customFormat="1" ht="30" hidden="1" customHeight="1" x14ac:dyDescent="0.35">
      <c r="A48" s="119">
        <v>39</v>
      </c>
      <c r="B48" s="3"/>
      <c r="C48" s="6"/>
      <c r="D48" s="3"/>
      <c r="E48" s="246"/>
      <c r="F48" s="8"/>
      <c r="G48" s="8"/>
      <c r="H48" s="8"/>
      <c r="I48" s="8"/>
      <c r="J48" s="8"/>
      <c r="K48" s="8"/>
      <c r="L48" s="8"/>
      <c r="M48" s="8"/>
      <c r="N48" s="8"/>
      <c r="O48" s="9"/>
      <c r="P48" s="238"/>
      <c r="Q48" s="12"/>
      <c r="R48" s="8"/>
      <c r="S48" s="8"/>
      <c r="T48" s="8"/>
      <c r="U48" s="8"/>
      <c r="V48" s="8"/>
      <c r="W48" s="8"/>
      <c r="X48" s="8"/>
      <c r="Y48" s="8"/>
      <c r="Z48" s="13"/>
      <c r="AA48" s="238"/>
      <c r="AB48" s="12"/>
      <c r="AC48" s="8"/>
      <c r="AD48" s="8"/>
      <c r="AE48" s="8"/>
      <c r="AF48" s="8"/>
      <c r="AG48" s="8"/>
      <c r="AH48" s="8"/>
      <c r="AI48" s="8"/>
      <c r="AJ48" s="8"/>
      <c r="AK48" s="13"/>
      <c r="AL48" s="238"/>
      <c r="AM48" s="12"/>
      <c r="AN48" s="8"/>
      <c r="AO48" s="8"/>
      <c r="AP48" s="8"/>
      <c r="AQ48" s="8"/>
      <c r="AR48" s="8"/>
      <c r="AS48" s="8"/>
      <c r="AT48" s="8"/>
      <c r="AU48" s="8"/>
      <c r="AV48" s="13"/>
      <c r="AW48" s="238"/>
      <c r="AX48" s="12"/>
      <c r="AY48" s="8"/>
      <c r="AZ48" s="8"/>
      <c r="BA48" s="8"/>
      <c r="BB48" s="8"/>
      <c r="BC48" s="8"/>
      <c r="BD48" s="8"/>
      <c r="BE48" s="8"/>
      <c r="BF48" s="8"/>
      <c r="BG48" s="13"/>
      <c r="BH48" s="238"/>
      <c r="BI48" s="12"/>
      <c r="BJ48" s="8"/>
      <c r="BK48" s="8"/>
      <c r="BL48" s="8"/>
      <c r="BM48" s="8"/>
      <c r="BN48" s="8"/>
      <c r="BO48" s="8"/>
      <c r="BP48" s="8"/>
      <c r="BQ48" s="8"/>
      <c r="BR48" s="13"/>
      <c r="BS48" s="238"/>
      <c r="BT48" s="12"/>
      <c r="BU48" s="8"/>
      <c r="BV48" s="8"/>
      <c r="BW48" s="8"/>
      <c r="BX48" s="8"/>
      <c r="BY48" s="8"/>
      <c r="BZ48" s="8"/>
      <c r="CA48" s="8"/>
      <c r="CB48" s="12"/>
      <c r="CC48" s="8"/>
      <c r="CD48" s="8"/>
      <c r="CE48" s="8"/>
      <c r="CF48" s="8"/>
      <c r="CG48" s="8"/>
      <c r="CH48" s="8"/>
      <c r="CI48" s="238"/>
      <c r="CJ48" s="12"/>
      <c r="CK48" s="8"/>
      <c r="CL48" s="8"/>
      <c r="CM48" s="8"/>
      <c r="CN48" s="8"/>
      <c r="CO48" s="8"/>
      <c r="CP48" s="8"/>
      <c r="CQ48" s="8"/>
      <c r="CR48" s="12"/>
      <c r="CS48" s="8"/>
      <c r="CT48" s="8"/>
      <c r="CU48" s="8"/>
      <c r="CV48" s="8"/>
      <c r="CW48" s="8"/>
      <c r="CX48" s="8"/>
      <c r="CY48" s="238"/>
      <c r="CZ48" s="12"/>
      <c r="DA48" s="8"/>
      <c r="DB48" s="8"/>
      <c r="DC48" s="8"/>
      <c r="DD48" s="8"/>
      <c r="DE48" s="8"/>
      <c r="DF48" s="8"/>
      <c r="DG48" s="8"/>
      <c r="DH48" s="12"/>
      <c r="DI48" s="8"/>
      <c r="DJ48" s="8"/>
      <c r="DK48" s="8"/>
      <c r="DL48" s="8"/>
      <c r="DM48" s="8"/>
      <c r="DN48" s="8"/>
      <c r="DO48" s="238"/>
      <c r="DP48" s="12"/>
      <c r="DQ48" s="8"/>
      <c r="DR48" s="8"/>
      <c r="DS48" s="8"/>
      <c r="DT48" s="8"/>
      <c r="DU48" s="8"/>
      <c r="DV48" s="8"/>
      <c r="DW48" s="8"/>
      <c r="DX48" s="12"/>
      <c r="DY48" s="8"/>
      <c r="DZ48" s="8"/>
      <c r="EA48" s="8"/>
      <c r="EB48" s="8"/>
      <c r="EC48" s="8"/>
      <c r="ED48" s="8"/>
      <c r="EE48" s="238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238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238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238"/>
      <c r="FP48" s="12"/>
      <c r="FQ48" s="12"/>
      <c r="FR48" s="12"/>
      <c r="FS48" s="12"/>
      <c r="FT48" s="12"/>
      <c r="FU48" s="238"/>
      <c r="FV48" s="12"/>
      <c r="FW48" s="12"/>
      <c r="FX48" s="12"/>
      <c r="FY48" s="12"/>
      <c r="FZ48" s="12"/>
      <c r="GA48" s="120"/>
      <c r="GB48" s="118" t="str">
        <f t="shared" si="18"/>
        <v/>
      </c>
      <c r="GC48" s="139" t="str">
        <f t="shared" si="19"/>
        <v/>
      </c>
      <c r="GD48" s="118">
        <f t="shared" si="20"/>
        <v>0</v>
      </c>
      <c r="GE48" s="118">
        <f t="shared" si="21"/>
        <v>0</v>
      </c>
      <c r="GF48" s="118">
        <f t="shared" si="22"/>
        <v>0</v>
      </c>
      <c r="GG48" s="118">
        <f t="shared" si="23"/>
        <v>0</v>
      </c>
      <c r="GH48" s="118">
        <f t="shared" si="24"/>
        <v>0</v>
      </c>
      <c r="GI48" s="118">
        <f t="shared" si="25"/>
        <v>0</v>
      </c>
      <c r="GJ48" s="118">
        <f t="shared" si="26"/>
        <v>0</v>
      </c>
      <c r="GK48" s="118">
        <f t="shared" si="27"/>
        <v>0</v>
      </c>
      <c r="GL48" s="118">
        <f t="shared" si="28"/>
        <v>0</v>
      </c>
      <c r="GM48" s="118">
        <f t="shared" si="29"/>
        <v>0</v>
      </c>
      <c r="GN48" s="118">
        <f t="shared" si="30"/>
        <v>0</v>
      </c>
      <c r="GO48" s="118">
        <f t="shared" si="31"/>
        <v>0</v>
      </c>
      <c r="GP48" s="118">
        <f t="shared" si="32"/>
        <v>0</v>
      </c>
      <c r="GQ48" s="118">
        <f t="shared" si="33"/>
        <v>0</v>
      </c>
      <c r="GR48" s="118">
        <f t="shared" si="34"/>
        <v>0</v>
      </c>
      <c r="GS48" s="121">
        <f t="shared" si="35"/>
        <v>0</v>
      </c>
      <c r="GT48"/>
      <c r="GU48"/>
      <c r="GV48"/>
      <c r="GW48"/>
      <c r="GX48" s="118"/>
      <c r="GY48" s="118"/>
      <c r="GZ48" s="118"/>
      <c r="HA48" s="118"/>
      <c r="HB48" s="118"/>
      <c r="HC48" s="118"/>
      <c r="HD48" s="118"/>
      <c r="HE48" s="118"/>
      <c r="HF48" s="118"/>
      <c r="HG48" s="118"/>
      <c r="HH48" s="118"/>
      <c r="HI48" s="118"/>
      <c r="HJ48" s="118"/>
      <c r="HK48" s="118"/>
      <c r="HL48" s="118"/>
    </row>
    <row r="49" spans="1:220" s="74" customFormat="1" ht="30" hidden="1" customHeight="1" x14ac:dyDescent="0.35">
      <c r="A49" s="119">
        <v>40</v>
      </c>
      <c r="B49" s="4"/>
      <c r="C49" s="7"/>
      <c r="D49" s="4"/>
      <c r="E49" s="246"/>
      <c r="F49" s="10"/>
      <c r="G49" s="10"/>
      <c r="H49" s="10"/>
      <c r="I49" s="10"/>
      <c r="J49" s="10"/>
      <c r="K49" s="10"/>
      <c r="L49" s="10"/>
      <c r="M49" s="10"/>
      <c r="N49" s="10"/>
      <c r="O49" s="11"/>
      <c r="P49" s="238"/>
      <c r="Q49" s="14"/>
      <c r="R49" s="10"/>
      <c r="S49" s="10"/>
      <c r="T49" s="10"/>
      <c r="U49" s="10"/>
      <c r="V49" s="10"/>
      <c r="W49" s="10"/>
      <c r="X49" s="10"/>
      <c r="Y49" s="10"/>
      <c r="Z49" s="15"/>
      <c r="AA49" s="238"/>
      <c r="AB49" s="14"/>
      <c r="AC49" s="10"/>
      <c r="AD49" s="10"/>
      <c r="AE49" s="10"/>
      <c r="AF49" s="10"/>
      <c r="AG49" s="10"/>
      <c r="AH49" s="10"/>
      <c r="AI49" s="10"/>
      <c r="AJ49" s="10"/>
      <c r="AK49" s="15"/>
      <c r="AL49" s="238"/>
      <c r="AM49" s="14"/>
      <c r="AN49" s="10"/>
      <c r="AO49" s="10"/>
      <c r="AP49" s="10"/>
      <c r="AQ49" s="10"/>
      <c r="AR49" s="10"/>
      <c r="AS49" s="10"/>
      <c r="AT49" s="10"/>
      <c r="AU49" s="10"/>
      <c r="AV49" s="15"/>
      <c r="AW49" s="238"/>
      <c r="AX49" s="14"/>
      <c r="AY49" s="10"/>
      <c r="AZ49" s="10"/>
      <c r="BA49" s="10"/>
      <c r="BB49" s="10"/>
      <c r="BC49" s="10"/>
      <c r="BD49" s="10"/>
      <c r="BE49" s="10"/>
      <c r="BF49" s="10"/>
      <c r="BG49" s="15"/>
      <c r="BH49" s="238"/>
      <c r="BI49" s="14"/>
      <c r="BJ49" s="10"/>
      <c r="BK49" s="10"/>
      <c r="BL49" s="10"/>
      <c r="BM49" s="10"/>
      <c r="BN49" s="10"/>
      <c r="BO49" s="10"/>
      <c r="BP49" s="10"/>
      <c r="BQ49" s="10"/>
      <c r="BR49" s="15"/>
      <c r="BS49" s="238"/>
      <c r="BT49" s="14"/>
      <c r="BU49" s="10"/>
      <c r="BV49" s="10"/>
      <c r="BW49" s="10"/>
      <c r="BX49" s="10"/>
      <c r="BY49" s="10"/>
      <c r="BZ49" s="10"/>
      <c r="CA49" s="10"/>
      <c r="CB49" s="14"/>
      <c r="CC49" s="10"/>
      <c r="CD49" s="10"/>
      <c r="CE49" s="10"/>
      <c r="CF49" s="10"/>
      <c r="CG49" s="10"/>
      <c r="CH49" s="10"/>
      <c r="CI49" s="238"/>
      <c r="CJ49" s="14"/>
      <c r="CK49" s="10"/>
      <c r="CL49" s="10"/>
      <c r="CM49" s="10"/>
      <c r="CN49" s="10"/>
      <c r="CO49" s="10"/>
      <c r="CP49" s="10"/>
      <c r="CQ49" s="10"/>
      <c r="CR49" s="14"/>
      <c r="CS49" s="10"/>
      <c r="CT49" s="10"/>
      <c r="CU49" s="10"/>
      <c r="CV49" s="10"/>
      <c r="CW49" s="10"/>
      <c r="CX49" s="10"/>
      <c r="CY49" s="238"/>
      <c r="CZ49" s="14"/>
      <c r="DA49" s="10"/>
      <c r="DB49" s="10"/>
      <c r="DC49" s="10"/>
      <c r="DD49" s="10"/>
      <c r="DE49" s="10"/>
      <c r="DF49" s="10"/>
      <c r="DG49" s="10"/>
      <c r="DH49" s="14"/>
      <c r="DI49" s="10"/>
      <c r="DJ49" s="10"/>
      <c r="DK49" s="10"/>
      <c r="DL49" s="10"/>
      <c r="DM49" s="10"/>
      <c r="DN49" s="10"/>
      <c r="DO49" s="238"/>
      <c r="DP49" s="14"/>
      <c r="DQ49" s="10"/>
      <c r="DR49" s="10"/>
      <c r="DS49" s="10"/>
      <c r="DT49" s="10"/>
      <c r="DU49" s="10"/>
      <c r="DV49" s="10"/>
      <c r="DW49" s="10"/>
      <c r="DX49" s="14"/>
      <c r="DY49" s="10"/>
      <c r="DZ49" s="10"/>
      <c r="EA49" s="10"/>
      <c r="EB49" s="10"/>
      <c r="EC49" s="10"/>
      <c r="ED49" s="10"/>
      <c r="EE49" s="238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238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238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238"/>
      <c r="FP49" s="14"/>
      <c r="FQ49" s="14"/>
      <c r="FR49" s="14"/>
      <c r="FS49" s="14"/>
      <c r="FT49" s="14"/>
      <c r="FU49" s="238"/>
      <c r="FV49" s="14"/>
      <c r="FW49" s="14"/>
      <c r="FX49" s="14"/>
      <c r="FY49" s="14"/>
      <c r="FZ49" s="14"/>
      <c r="GA49" s="120"/>
      <c r="GB49" s="122" t="str">
        <f t="shared" si="18"/>
        <v/>
      </c>
      <c r="GC49" s="140" t="str">
        <f t="shared" si="19"/>
        <v/>
      </c>
      <c r="GD49" s="122">
        <f t="shared" si="20"/>
        <v>0</v>
      </c>
      <c r="GE49" s="122">
        <f t="shared" si="21"/>
        <v>0</v>
      </c>
      <c r="GF49" s="122">
        <f t="shared" si="22"/>
        <v>0</v>
      </c>
      <c r="GG49" s="122">
        <f t="shared" si="23"/>
        <v>0</v>
      </c>
      <c r="GH49" s="122">
        <f t="shared" si="24"/>
        <v>0</v>
      </c>
      <c r="GI49" s="122">
        <f t="shared" si="25"/>
        <v>0</v>
      </c>
      <c r="GJ49" s="122">
        <f t="shared" si="26"/>
        <v>0</v>
      </c>
      <c r="GK49" s="122">
        <f t="shared" si="27"/>
        <v>0</v>
      </c>
      <c r="GL49" s="122">
        <f t="shared" si="28"/>
        <v>0</v>
      </c>
      <c r="GM49" s="122">
        <f t="shared" si="29"/>
        <v>0</v>
      </c>
      <c r="GN49" s="122">
        <f t="shared" si="30"/>
        <v>0</v>
      </c>
      <c r="GO49" s="122">
        <f t="shared" si="31"/>
        <v>0</v>
      </c>
      <c r="GP49" s="122">
        <f t="shared" si="32"/>
        <v>0</v>
      </c>
      <c r="GQ49" s="122">
        <f t="shared" si="33"/>
        <v>0</v>
      </c>
      <c r="GR49" s="122">
        <f t="shared" si="34"/>
        <v>0</v>
      </c>
      <c r="GS49" s="123">
        <f t="shared" si="35"/>
        <v>0</v>
      </c>
      <c r="GT49"/>
      <c r="GU49"/>
      <c r="GV49"/>
      <c r="GW49"/>
      <c r="GX49" s="118"/>
      <c r="GY49" s="118"/>
      <c r="GZ49" s="118"/>
      <c r="HA49" s="118"/>
      <c r="HB49" s="118"/>
      <c r="HC49" s="118"/>
      <c r="HD49" s="118"/>
      <c r="HE49" s="118"/>
      <c r="HF49" s="118"/>
      <c r="HG49" s="118"/>
      <c r="HH49" s="118"/>
      <c r="HI49" s="118"/>
      <c r="HJ49" s="118"/>
      <c r="HK49" s="118"/>
      <c r="HL49" s="118"/>
    </row>
    <row r="50" spans="1:220" s="74" customFormat="1" ht="30" hidden="1" customHeight="1" x14ac:dyDescent="0.35">
      <c r="A50" s="119">
        <v>41</v>
      </c>
      <c r="B50" s="3"/>
      <c r="C50" s="6"/>
      <c r="D50" s="3"/>
      <c r="E50" s="246"/>
      <c r="F50" s="8"/>
      <c r="G50" s="8"/>
      <c r="H50" s="8"/>
      <c r="I50" s="8"/>
      <c r="J50" s="8"/>
      <c r="K50" s="8"/>
      <c r="L50" s="8"/>
      <c r="M50" s="8"/>
      <c r="N50" s="8"/>
      <c r="O50" s="9"/>
      <c r="P50" s="238"/>
      <c r="Q50" s="12"/>
      <c r="R50" s="8"/>
      <c r="S50" s="8"/>
      <c r="T50" s="8"/>
      <c r="U50" s="8"/>
      <c r="V50" s="8"/>
      <c r="W50" s="8"/>
      <c r="X50" s="8"/>
      <c r="Y50" s="8"/>
      <c r="Z50" s="13"/>
      <c r="AA50" s="238"/>
      <c r="AB50" s="12"/>
      <c r="AC50" s="8"/>
      <c r="AD50" s="8"/>
      <c r="AE50" s="8"/>
      <c r="AF50" s="8"/>
      <c r="AG50" s="8"/>
      <c r="AH50" s="8"/>
      <c r="AI50" s="8"/>
      <c r="AJ50" s="8"/>
      <c r="AK50" s="13"/>
      <c r="AL50" s="238"/>
      <c r="AM50" s="12"/>
      <c r="AN50" s="8"/>
      <c r="AO50" s="8"/>
      <c r="AP50" s="8"/>
      <c r="AQ50" s="8"/>
      <c r="AR50" s="8"/>
      <c r="AS50" s="8"/>
      <c r="AT50" s="8"/>
      <c r="AU50" s="8"/>
      <c r="AV50" s="13"/>
      <c r="AW50" s="238"/>
      <c r="AX50" s="12"/>
      <c r="AY50" s="8"/>
      <c r="AZ50" s="8"/>
      <c r="BA50" s="8"/>
      <c r="BB50" s="8"/>
      <c r="BC50" s="8"/>
      <c r="BD50" s="8"/>
      <c r="BE50" s="8"/>
      <c r="BF50" s="8"/>
      <c r="BG50" s="13"/>
      <c r="BH50" s="238"/>
      <c r="BI50" s="12"/>
      <c r="BJ50" s="8"/>
      <c r="BK50" s="8"/>
      <c r="BL50" s="8"/>
      <c r="BM50" s="8"/>
      <c r="BN50" s="8"/>
      <c r="BO50" s="8"/>
      <c r="BP50" s="8"/>
      <c r="BQ50" s="8"/>
      <c r="BR50" s="13"/>
      <c r="BS50" s="238"/>
      <c r="BT50" s="12"/>
      <c r="BU50" s="8"/>
      <c r="BV50" s="8"/>
      <c r="BW50" s="8"/>
      <c r="BX50" s="8"/>
      <c r="BY50" s="8"/>
      <c r="BZ50" s="8"/>
      <c r="CA50" s="8"/>
      <c r="CB50" s="12"/>
      <c r="CC50" s="8"/>
      <c r="CD50" s="8"/>
      <c r="CE50" s="8"/>
      <c r="CF50" s="8"/>
      <c r="CG50" s="8"/>
      <c r="CH50" s="8"/>
      <c r="CI50" s="238"/>
      <c r="CJ50" s="12"/>
      <c r="CK50" s="8"/>
      <c r="CL50" s="8"/>
      <c r="CM50" s="8"/>
      <c r="CN50" s="8"/>
      <c r="CO50" s="8"/>
      <c r="CP50" s="8"/>
      <c r="CQ50" s="8"/>
      <c r="CR50" s="12"/>
      <c r="CS50" s="8"/>
      <c r="CT50" s="8"/>
      <c r="CU50" s="8"/>
      <c r="CV50" s="8"/>
      <c r="CW50" s="8"/>
      <c r="CX50" s="8"/>
      <c r="CY50" s="238"/>
      <c r="CZ50" s="12"/>
      <c r="DA50" s="8"/>
      <c r="DB50" s="8"/>
      <c r="DC50" s="8"/>
      <c r="DD50" s="8"/>
      <c r="DE50" s="8"/>
      <c r="DF50" s="8"/>
      <c r="DG50" s="8"/>
      <c r="DH50" s="12"/>
      <c r="DI50" s="8"/>
      <c r="DJ50" s="8"/>
      <c r="DK50" s="8"/>
      <c r="DL50" s="8"/>
      <c r="DM50" s="8"/>
      <c r="DN50" s="8"/>
      <c r="DO50" s="238"/>
      <c r="DP50" s="12"/>
      <c r="DQ50" s="8"/>
      <c r="DR50" s="8"/>
      <c r="DS50" s="8"/>
      <c r="DT50" s="8"/>
      <c r="DU50" s="8"/>
      <c r="DV50" s="8"/>
      <c r="DW50" s="8"/>
      <c r="DX50" s="12"/>
      <c r="DY50" s="8"/>
      <c r="DZ50" s="8"/>
      <c r="EA50" s="8"/>
      <c r="EB50" s="8"/>
      <c r="EC50" s="8"/>
      <c r="ED50" s="8"/>
      <c r="EE50" s="238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238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238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238"/>
      <c r="FP50" s="12"/>
      <c r="FQ50" s="12"/>
      <c r="FR50" s="12"/>
      <c r="FS50" s="12"/>
      <c r="FT50" s="12"/>
      <c r="FU50" s="238"/>
      <c r="FV50" s="12"/>
      <c r="FW50" s="12"/>
      <c r="FX50" s="12"/>
      <c r="FY50" s="12"/>
      <c r="FZ50" s="12"/>
      <c r="GA50" s="120"/>
      <c r="GB50" s="118" t="str">
        <f t="shared" si="18"/>
        <v/>
      </c>
      <c r="GC50" s="139" t="str">
        <f t="shared" si="19"/>
        <v/>
      </c>
      <c r="GD50" s="118">
        <f t="shared" si="20"/>
        <v>0</v>
      </c>
      <c r="GE50" s="118">
        <f t="shared" si="21"/>
        <v>0</v>
      </c>
      <c r="GF50" s="118">
        <f t="shared" si="22"/>
        <v>0</v>
      </c>
      <c r="GG50" s="118">
        <f t="shared" si="23"/>
        <v>0</v>
      </c>
      <c r="GH50" s="118">
        <f t="shared" si="24"/>
        <v>0</v>
      </c>
      <c r="GI50" s="118">
        <f t="shared" si="25"/>
        <v>0</v>
      </c>
      <c r="GJ50" s="118">
        <f t="shared" si="26"/>
        <v>0</v>
      </c>
      <c r="GK50" s="118">
        <f t="shared" si="27"/>
        <v>0</v>
      </c>
      <c r="GL50" s="118">
        <f t="shared" si="28"/>
        <v>0</v>
      </c>
      <c r="GM50" s="118">
        <f t="shared" si="29"/>
        <v>0</v>
      </c>
      <c r="GN50" s="118">
        <f t="shared" si="30"/>
        <v>0</v>
      </c>
      <c r="GO50" s="118">
        <f t="shared" si="31"/>
        <v>0</v>
      </c>
      <c r="GP50" s="118">
        <f t="shared" si="32"/>
        <v>0</v>
      </c>
      <c r="GQ50" s="118">
        <f t="shared" si="33"/>
        <v>0</v>
      </c>
      <c r="GR50" s="118">
        <f t="shared" si="34"/>
        <v>0</v>
      </c>
      <c r="GS50" s="121">
        <f t="shared" si="35"/>
        <v>0</v>
      </c>
      <c r="GT50"/>
      <c r="GU50"/>
      <c r="GV50"/>
      <c r="GW50"/>
      <c r="GX50" s="118"/>
      <c r="GY50" s="118"/>
      <c r="GZ50" s="118"/>
      <c r="HA50" s="118"/>
      <c r="HB50" s="118"/>
      <c r="HC50" s="118"/>
      <c r="HD50" s="118"/>
      <c r="HE50" s="118"/>
      <c r="HF50" s="118"/>
      <c r="HG50" s="118"/>
      <c r="HH50" s="118"/>
      <c r="HI50" s="118"/>
      <c r="HJ50" s="118"/>
      <c r="HK50" s="118"/>
      <c r="HL50" s="118"/>
    </row>
    <row r="51" spans="1:220" s="74" customFormat="1" ht="30" hidden="1" customHeight="1" x14ac:dyDescent="0.35">
      <c r="A51" s="119">
        <v>42</v>
      </c>
      <c r="B51" s="4"/>
      <c r="C51" s="7"/>
      <c r="D51" s="4"/>
      <c r="E51" s="246"/>
      <c r="F51" s="10"/>
      <c r="G51" s="10"/>
      <c r="H51" s="10"/>
      <c r="I51" s="10"/>
      <c r="J51" s="10"/>
      <c r="K51" s="10"/>
      <c r="L51" s="10"/>
      <c r="M51" s="10"/>
      <c r="N51" s="10"/>
      <c r="O51" s="11"/>
      <c r="P51" s="238"/>
      <c r="Q51" s="14"/>
      <c r="R51" s="10"/>
      <c r="S51" s="10"/>
      <c r="T51" s="10"/>
      <c r="U51" s="10"/>
      <c r="V51" s="10"/>
      <c r="W51" s="10"/>
      <c r="X51" s="10"/>
      <c r="Y51" s="10"/>
      <c r="Z51" s="15"/>
      <c r="AA51" s="238"/>
      <c r="AB51" s="14"/>
      <c r="AC51" s="10"/>
      <c r="AD51" s="10"/>
      <c r="AE51" s="10"/>
      <c r="AF51" s="10"/>
      <c r="AG51" s="10"/>
      <c r="AH51" s="10"/>
      <c r="AI51" s="10"/>
      <c r="AJ51" s="10"/>
      <c r="AK51" s="15"/>
      <c r="AL51" s="238"/>
      <c r="AM51" s="14"/>
      <c r="AN51" s="10"/>
      <c r="AO51" s="10"/>
      <c r="AP51" s="10"/>
      <c r="AQ51" s="10"/>
      <c r="AR51" s="10"/>
      <c r="AS51" s="10"/>
      <c r="AT51" s="10"/>
      <c r="AU51" s="10"/>
      <c r="AV51" s="15"/>
      <c r="AW51" s="238"/>
      <c r="AX51" s="14"/>
      <c r="AY51" s="10"/>
      <c r="AZ51" s="10"/>
      <c r="BA51" s="10"/>
      <c r="BB51" s="10"/>
      <c r="BC51" s="10"/>
      <c r="BD51" s="10"/>
      <c r="BE51" s="10"/>
      <c r="BF51" s="10"/>
      <c r="BG51" s="15"/>
      <c r="BH51" s="238"/>
      <c r="BI51" s="14"/>
      <c r="BJ51" s="10"/>
      <c r="BK51" s="10"/>
      <c r="BL51" s="10"/>
      <c r="BM51" s="10"/>
      <c r="BN51" s="10"/>
      <c r="BO51" s="10"/>
      <c r="BP51" s="10"/>
      <c r="BQ51" s="10"/>
      <c r="BR51" s="15"/>
      <c r="BS51" s="238"/>
      <c r="BT51" s="14"/>
      <c r="BU51" s="10"/>
      <c r="BV51" s="10"/>
      <c r="BW51" s="10"/>
      <c r="BX51" s="10"/>
      <c r="BY51" s="10"/>
      <c r="BZ51" s="10"/>
      <c r="CA51" s="10"/>
      <c r="CB51" s="14"/>
      <c r="CC51" s="10"/>
      <c r="CD51" s="10"/>
      <c r="CE51" s="10"/>
      <c r="CF51" s="10"/>
      <c r="CG51" s="10"/>
      <c r="CH51" s="10"/>
      <c r="CI51" s="238"/>
      <c r="CJ51" s="14"/>
      <c r="CK51" s="10"/>
      <c r="CL51" s="10"/>
      <c r="CM51" s="10"/>
      <c r="CN51" s="10"/>
      <c r="CO51" s="10"/>
      <c r="CP51" s="10"/>
      <c r="CQ51" s="10"/>
      <c r="CR51" s="14"/>
      <c r="CS51" s="10"/>
      <c r="CT51" s="10"/>
      <c r="CU51" s="10"/>
      <c r="CV51" s="10"/>
      <c r="CW51" s="10"/>
      <c r="CX51" s="10"/>
      <c r="CY51" s="238"/>
      <c r="CZ51" s="14"/>
      <c r="DA51" s="10"/>
      <c r="DB51" s="10"/>
      <c r="DC51" s="10"/>
      <c r="DD51" s="10"/>
      <c r="DE51" s="10"/>
      <c r="DF51" s="10"/>
      <c r="DG51" s="10"/>
      <c r="DH51" s="14"/>
      <c r="DI51" s="10"/>
      <c r="DJ51" s="10"/>
      <c r="DK51" s="10"/>
      <c r="DL51" s="10"/>
      <c r="DM51" s="10"/>
      <c r="DN51" s="10"/>
      <c r="DO51" s="238"/>
      <c r="DP51" s="14"/>
      <c r="DQ51" s="10"/>
      <c r="DR51" s="10"/>
      <c r="DS51" s="10"/>
      <c r="DT51" s="10"/>
      <c r="DU51" s="10"/>
      <c r="DV51" s="10"/>
      <c r="DW51" s="10"/>
      <c r="DX51" s="14"/>
      <c r="DY51" s="10"/>
      <c r="DZ51" s="10"/>
      <c r="EA51" s="10"/>
      <c r="EB51" s="10"/>
      <c r="EC51" s="10"/>
      <c r="ED51" s="10"/>
      <c r="EE51" s="238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238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238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238"/>
      <c r="FP51" s="14"/>
      <c r="FQ51" s="14"/>
      <c r="FR51" s="14"/>
      <c r="FS51" s="14"/>
      <c r="FT51" s="14"/>
      <c r="FU51" s="238"/>
      <c r="FV51" s="14"/>
      <c r="FW51" s="14"/>
      <c r="FX51" s="14"/>
      <c r="FY51" s="14"/>
      <c r="FZ51" s="14"/>
      <c r="GA51" s="120"/>
      <c r="GB51" s="122" t="str">
        <f t="shared" si="18"/>
        <v/>
      </c>
      <c r="GC51" s="140" t="str">
        <f t="shared" si="19"/>
        <v/>
      </c>
      <c r="GD51" s="122">
        <f t="shared" si="20"/>
        <v>0</v>
      </c>
      <c r="GE51" s="122">
        <f t="shared" si="21"/>
        <v>0</v>
      </c>
      <c r="GF51" s="122">
        <f t="shared" si="22"/>
        <v>0</v>
      </c>
      <c r="GG51" s="122">
        <f t="shared" si="23"/>
        <v>0</v>
      </c>
      <c r="GH51" s="122">
        <f t="shared" si="24"/>
        <v>0</v>
      </c>
      <c r="GI51" s="122">
        <f t="shared" si="25"/>
        <v>0</v>
      </c>
      <c r="GJ51" s="122">
        <f t="shared" si="26"/>
        <v>0</v>
      </c>
      <c r="GK51" s="122">
        <f t="shared" si="27"/>
        <v>0</v>
      </c>
      <c r="GL51" s="122">
        <f t="shared" si="28"/>
        <v>0</v>
      </c>
      <c r="GM51" s="122">
        <f t="shared" si="29"/>
        <v>0</v>
      </c>
      <c r="GN51" s="122">
        <f t="shared" si="30"/>
        <v>0</v>
      </c>
      <c r="GO51" s="122">
        <f t="shared" si="31"/>
        <v>0</v>
      </c>
      <c r="GP51" s="122">
        <f t="shared" si="32"/>
        <v>0</v>
      </c>
      <c r="GQ51" s="122">
        <f t="shared" si="33"/>
        <v>0</v>
      </c>
      <c r="GR51" s="122">
        <f t="shared" si="34"/>
        <v>0</v>
      </c>
      <c r="GS51" s="123">
        <f t="shared" si="35"/>
        <v>0</v>
      </c>
      <c r="GT51"/>
      <c r="GU51"/>
      <c r="GV51"/>
      <c r="GW51"/>
      <c r="GX51" s="118"/>
      <c r="GY51" s="118"/>
      <c r="GZ51" s="118"/>
      <c r="HA51" s="118"/>
      <c r="HB51" s="118"/>
      <c r="HC51" s="118"/>
      <c r="HD51" s="118"/>
      <c r="HE51" s="118"/>
      <c r="HF51" s="118"/>
      <c r="HG51" s="118"/>
      <c r="HH51" s="118"/>
      <c r="HI51" s="118"/>
      <c r="HJ51" s="118"/>
      <c r="HK51" s="118"/>
      <c r="HL51" s="118"/>
    </row>
    <row r="52" spans="1:220" s="74" customFormat="1" ht="30" hidden="1" customHeight="1" x14ac:dyDescent="0.35">
      <c r="A52" s="119">
        <v>43</v>
      </c>
      <c r="B52" s="3"/>
      <c r="C52" s="6"/>
      <c r="D52" s="3"/>
      <c r="E52" s="246"/>
      <c r="F52" s="8"/>
      <c r="G52" s="8"/>
      <c r="H52" s="8"/>
      <c r="I52" s="8"/>
      <c r="J52" s="8"/>
      <c r="K52" s="8"/>
      <c r="L52" s="8"/>
      <c r="M52" s="8"/>
      <c r="N52" s="8"/>
      <c r="O52" s="9"/>
      <c r="P52" s="238"/>
      <c r="Q52" s="12"/>
      <c r="R52" s="8"/>
      <c r="S52" s="8"/>
      <c r="T52" s="8"/>
      <c r="U52" s="8"/>
      <c r="V52" s="8"/>
      <c r="W52" s="8"/>
      <c r="X52" s="8"/>
      <c r="Y52" s="8"/>
      <c r="Z52" s="13"/>
      <c r="AA52" s="238"/>
      <c r="AB52" s="12"/>
      <c r="AC52" s="8"/>
      <c r="AD52" s="8"/>
      <c r="AE52" s="8"/>
      <c r="AF52" s="8"/>
      <c r="AG52" s="8"/>
      <c r="AH52" s="8"/>
      <c r="AI52" s="8"/>
      <c r="AJ52" s="8"/>
      <c r="AK52" s="13"/>
      <c r="AL52" s="238"/>
      <c r="AM52" s="12"/>
      <c r="AN52" s="8"/>
      <c r="AO52" s="8"/>
      <c r="AP52" s="8"/>
      <c r="AQ52" s="8"/>
      <c r="AR52" s="8"/>
      <c r="AS52" s="8"/>
      <c r="AT52" s="8"/>
      <c r="AU52" s="8"/>
      <c r="AV52" s="13"/>
      <c r="AW52" s="238"/>
      <c r="AX52" s="12"/>
      <c r="AY52" s="8"/>
      <c r="AZ52" s="8"/>
      <c r="BA52" s="8"/>
      <c r="BB52" s="8"/>
      <c r="BC52" s="8"/>
      <c r="BD52" s="8"/>
      <c r="BE52" s="8"/>
      <c r="BF52" s="8"/>
      <c r="BG52" s="13"/>
      <c r="BH52" s="238"/>
      <c r="BI52" s="12"/>
      <c r="BJ52" s="8"/>
      <c r="BK52" s="8"/>
      <c r="BL52" s="8"/>
      <c r="BM52" s="8"/>
      <c r="BN52" s="8"/>
      <c r="BO52" s="8"/>
      <c r="BP52" s="8"/>
      <c r="BQ52" s="8"/>
      <c r="BR52" s="13"/>
      <c r="BS52" s="238"/>
      <c r="BT52" s="12"/>
      <c r="BU52" s="8"/>
      <c r="BV52" s="8"/>
      <c r="BW52" s="8"/>
      <c r="BX52" s="8"/>
      <c r="BY52" s="8"/>
      <c r="BZ52" s="8"/>
      <c r="CA52" s="8"/>
      <c r="CB52" s="12"/>
      <c r="CC52" s="8"/>
      <c r="CD52" s="8"/>
      <c r="CE52" s="8"/>
      <c r="CF52" s="8"/>
      <c r="CG52" s="8"/>
      <c r="CH52" s="8"/>
      <c r="CI52" s="238"/>
      <c r="CJ52" s="12"/>
      <c r="CK52" s="8"/>
      <c r="CL52" s="8"/>
      <c r="CM52" s="8"/>
      <c r="CN52" s="8"/>
      <c r="CO52" s="8"/>
      <c r="CP52" s="8"/>
      <c r="CQ52" s="8"/>
      <c r="CR52" s="12"/>
      <c r="CS52" s="8"/>
      <c r="CT52" s="8"/>
      <c r="CU52" s="8"/>
      <c r="CV52" s="8"/>
      <c r="CW52" s="8"/>
      <c r="CX52" s="8"/>
      <c r="CY52" s="238"/>
      <c r="CZ52" s="12"/>
      <c r="DA52" s="8"/>
      <c r="DB52" s="8"/>
      <c r="DC52" s="8"/>
      <c r="DD52" s="8"/>
      <c r="DE52" s="8"/>
      <c r="DF52" s="8"/>
      <c r="DG52" s="8"/>
      <c r="DH52" s="12"/>
      <c r="DI52" s="8"/>
      <c r="DJ52" s="8"/>
      <c r="DK52" s="8"/>
      <c r="DL52" s="8"/>
      <c r="DM52" s="8"/>
      <c r="DN52" s="8"/>
      <c r="DO52" s="238"/>
      <c r="DP52" s="12"/>
      <c r="DQ52" s="8"/>
      <c r="DR52" s="8"/>
      <c r="DS52" s="8"/>
      <c r="DT52" s="8"/>
      <c r="DU52" s="8"/>
      <c r="DV52" s="8"/>
      <c r="DW52" s="8"/>
      <c r="DX52" s="12"/>
      <c r="DY52" s="8"/>
      <c r="DZ52" s="8"/>
      <c r="EA52" s="8"/>
      <c r="EB52" s="8"/>
      <c r="EC52" s="8"/>
      <c r="ED52" s="8"/>
      <c r="EE52" s="238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238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238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238"/>
      <c r="FP52" s="12"/>
      <c r="FQ52" s="12"/>
      <c r="FR52" s="12"/>
      <c r="FS52" s="12"/>
      <c r="FT52" s="12"/>
      <c r="FU52" s="238"/>
      <c r="FV52" s="12"/>
      <c r="FW52" s="12"/>
      <c r="FX52" s="12"/>
      <c r="FY52" s="12"/>
      <c r="FZ52" s="12"/>
      <c r="GA52" s="120"/>
      <c r="GB52" s="118" t="str">
        <f t="shared" si="18"/>
        <v/>
      </c>
      <c r="GC52" s="139" t="str">
        <f t="shared" si="19"/>
        <v/>
      </c>
      <c r="GD52" s="118">
        <f t="shared" si="20"/>
        <v>0</v>
      </c>
      <c r="GE52" s="118">
        <f t="shared" si="21"/>
        <v>0</v>
      </c>
      <c r="GF52" s="118">
        <f t="shared" si="22"/>
        <v>0</v>
      </c>
      <c r="GG52" s="118">
        <f t="shared" si="23"/>
        <v>0</v>
      </c>
      <c r="GH52" s="118">
        <f t="shared" si="24"/>
        <v>0</v>
      </c>
      <c r="GI52" s="118">
        <f t="shared" si="25"/>
        <v>0</v>
      </c>
      <c r="GJ52" s="118">
        <f t="shared" si="26"/>
        <v>0</v>
      </c>
      <c r="GK52" s="118">
        <f t="shared" si="27"/>
        <v>0</v>
      </c>
      <c r="GL52" s="118">
        <f t="shared" si="28"/>
        <v>0</v>
      </c>
      <c r="GM52" s="118">
        <f t="shared" si="29"/>
        <v>0</v>
      </c>
      <c r="GN52" s="118">
        <f t="shared" si="30"/>
        <v>0</v>
      </c>
      <c r="GO52" s="118">
        <f t="shared" si="31"/>
        <v>0</v>
      </c>
      <c r="GP52" s="118">
        <f t="shared" si="32"/>
        <v>0</v>
      </c>
      <c r="GQ52" s="118">
        <f t="shared" si="33"/>
        <v>0</v>
      </c>
      <c r="GR52" s="118">
        <f t="shared" si="34"/>
        <v>0</v>
      </c>
      <c r="GS52" s="121">
        <f t="shared" si="35"/>
        <v>0</v>
      </c>
      <c r="GT52"/>
      <c r="GU52"/>
      <c r="GV52"/>
      <c r="GW52"/>
      <c r="GX52" s="118"/>
      <c r="GY52" s="118"/>
      <c r="GZ52" s="118"/>
      <c r="HA52" s="118"/>
      <c r="HB52" s="118"/>
      <c r="HC52" s="118"/>
      <c r="HD52" s="118"/>
      <c r="HE52" s="118"/>
      <c r="HF52" s="118"/>
      <c r="HG52" s="118"/>
      <c r="HH52" s="118"/>
      <c r="HI52" s="118"/>
      <c r="HJ52" s="118"/>
      <c r="HK52" s="118"/>
      <c r="HL52" s="118"/>
    </row>
    <row r="53" spans="1:220" s="74" customFormat="1" ht="30" hidden="1" customHeight="1" x14ac:dyDescent="0.35">
      <c r="A53" s="119">
        <v>44</v>
      </c>
      <c r="B53" s="4"/>
      <c r="C53" s="7"/>
      <c r="D53" s="4"/>
      <c r="E53" s="246"/>
      <c r="F53" s="10"/>
      <c r="G53" s="10"/>
      <c r="H53" s="10"/>
      <c r="I53" s="10"/>
      <c r="J53" s="10"/>
      <c r="K53" s="10"/>
      <c r="L53" s="10"/>
      <c r="M53" s="10"/>
      <c r="N53" s="10"/>
      <c r="O53" s="11"/>
      <c r="P53" s="238"/>
      <c r="Q53" s="14"/>
      <c r="R53" s="10"/>
      <c r="S53" s="10"/>
      <c r="T53" s="10"/>
      <c r="U53" s="10"/>
      <c r="V53" s="10"/>
      <c r="W53" s="10"/>
      <c r="X53" s="10"/>
      <c r="Y53" s="10"/>
      <c r="Z53" s="15"/>
      <c r="AA53" s="238"/>
      <c r="AB53" s="14"/>
      <c r="AC53" s="10"/>
      <c r="AD53" s="10"/>
      <c r="AE53" s="10"/>
      <c r="AF53" s="10"/>
      <c r="AG53" s="10"/>
      <c r="AH53" s="10"/>
      <c r="AI53" s="10"/>
      <c r="AJ53" s="10"/>
      <c r="AK53" s="15"/>
      <c r="AL53" s="238"/>
      <c r="AM53" s="14"/>
      <c r="AN53" s="10"/>
      <c r="AO53" s="10"/>
      <c r="AP53" s="10"/>
      <c r="AQ53" s="10"/>
      <c r="AR53" s="10"/>
      <c r="AS53" s="10"/>
      <c r="AT53" s="10"/>
      <c r="AU53" s="10"/>
      <c r="AV53" s="15"/>
      <c r="AW53" s="238"/>
      <c r="AX53" s="14"/>
      <c r="AY53" s="10"/>
      <c r="AZ53" s="10"/>
      <c r="BA53" s="10"/>
      <c r="BB53" s="10"/>
      <c r="BC53" s="10"/>
      <c r="BD53" s="10"/>
      <c r="BE53" s="10"/>
      <c r="BF53" s="10"/>
      <c r="BG53" s="15"/>
      <c r="BH53" s="238"/>
      <c r="BI53" s="14"/>
      <c r="BJ53" s="10"/>
      <c r="BK53" s="10"/>
      <c r="BL53" s="10"/>
      <c r="BM53" s="10"/>
      <c r="BN53" s="10"/>
      <c r="BO53" s="10"/>
      <c r="BP53" s="10"/>
      <c r="BQ53" s="10"/>
      <c r="BR53" s="15"/>
      <c r="BS53" s="238"/>
      <c r="BT53" s="14"/>
      <c r="BU53" s="10"/>
      <c r="BV53" s="10"/>
      <c r="BW53" s="10"/>
      <c r="BX53" s="10"/>
      <c r="BY53" s="10"/>
      <c r="BZ53" s="10"/>
      <c r="CA53" s="10"/>
      <c r="CB53" s="14"/>
      <c r="CC53" s="10"/>
      <c r="CD53" s="10"/>
      <c r="CE53" s="10"/>
      <c r="CF53" s="10"/>
      <c r="CG53" s="10"/>
      <c r="CH53" s="10"/>
      <c r="CI53" s="238"/>
      <c r="CJ53" s="14"/>
      <c r="CK53" s="10"/>
      <c r="CL53" s="10"/>
      <c r="CM53" s="10"/>
      <c r="CN53" s="10"/>
      <c r="CO53" s="10"/>
      <c r="CP53" s="10"/>
      <c r="CQ53" s="10"/>
      <c r="CR53" s="14"/>
      <c r="CS53" s="10"/>
      <c r="CT53" s="10"/>
      <c r="CU53" s="10"/>
      <c r="CV53" s="10"/>
      <c r="CW53" s="10"/>
      <c r="CX53" s="10"/>
      <c r="CY53" s="238"/>
      <c r="CZ53" s="14"/>
      <c r="DA53" s="10"/>
      <c r="DB53" s="10"/>
      <c r="DC53" s="10"/>
      <c r="DD53" s="10"/>
      <c r="DE53" s="10"/>
      <c r="DF53" s="10"/>
      <c r="DG53" s="10"/>
      <c r="DH53" s="14"/>
      <c r="DI53" s="10"/>
      <c r="DJ53" s="10"/>
      <c r="DK53" s="10"/>
      <c r="DL53" s="10"/>
      <c r="DM53" s="10"/>
      <c r="DN53" s="10"/>
      <c r="DO53" s="238"/>
      <c r="DP53" s="14"/>
      <c r="DQ53" s="10"/>
      <c r="DR53" s="10"/>
      <c r="DS53" s="10"/>
      <c r="DT53" s="10"/>
      <c r="DU53" s="10"/>
      <c r="DV53" s="10"/>
      <c r="DW53" s="10"/>
      <c r="DX53" s="14"/>
      <c r="DY53" s="10"/>
      <c r="DZ53" s="10"/>
      <c r="EA53" s="10"/>
      <c r="EB53" s="10"/>
      <c r="EC53" s="10"/>
      <c r="ED53" s="10"/>
      <c r="EE53" s="238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238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238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238"/>
      <c r="FP53" s="14"/>
      <c r="FQ53" s="14"/>
      <c r="FR53" s="14"/>
      <c r="FS53" s="14"/>
      <c r="FT53" s="14"/>
      <c r="FU53" s="238"/>
      <c r="FV53" s="14"/>
      <c r="FW53" s="14"/>
      <c r="FX53" s="14"/>
      <c r="FY53" s="14"/>
      <c r="FZ53" s="14"/>
      <c r="GA53" s="120"/>
      <c r="GB53" s="122" t="str">
        <f t="shared" si="18"/>
        <v/>
      </c>
      <c r="GC53" s="140" t="str">
        <f t="shared" si="19"/>
        <v/>
      </c>
      <c r="GD53" s="122">
        <f t="shared" si="20"/>
        <v>0</v>
      </c>
      <c r="GE53" s="122">
        <f t="shared" si="21"/>
        <v>0</v>
      </c>
      <c r="GF53" s="122">
        <f t="shared" si="22"/>
        <v>0</v>
      </c>
      <c r="GG53" s="122">
        <f t="shared" si="23"/>
        <v>0</v>
      </c>
      <c r="GH53" s="122">
        <f t="shared" si="24"/>
        <v>0</v>
      </c>
      <c r="GI53" s="122">
        <f t="shared" si="25"/>
        <v>0</v>
      </c>
      <c r="GJ53" s="122">
        <f t="shared" si="26"/>
        <v>0</v>
      </c>
      <c r="GK53" s="122">
        <f t="shared" si="27"/>
        <v>0</v>
      </c>
      <c r="GL53" s="122">
        <f t="shared" si="28"/>
        <v>0</v>
      </c>
      <c r="GM53" s="122">
        <f t="shared" si="29"/>
        <v>0</v>
      </c>
      <c r="GN53" s="122">
        <f t="shared" si="30"/>
        <v>0</v>
      </c>
      <c r="GO53" s="122">
        <f t="shared" si="31"/>
        <v>0</v>
      </c>
      <c r="GP53" s="122">
        <f t="shared" si="32"/>
        <v>0</v>
      </c>
      <c r="GQ53" s="122">
        <f t="shared" si="33"/>
        <v>0</v>
      </c>
      <c r="GR53" s="122">
        <f t="shared" si="34"/>
        <v>0</v>
      </c>
      <c r="GS53" s="123">
        <f t="shared" si="35"/>
        <v>0</v>
      </c>
      <c r="GT53"/>
      <c r="GU53"/>
      <c r="GV53"/>
      <c r="GW53"/>
      <c r="GX53" s="118"/>
      <c r="GY53" s="118"/>
      <c r="GZ53" s="118"/>
      <c r="HA53" s="118"/>
      <c r="HB53" s="118"/>
      <c r="HC53" s="118"/>
      <c r="HD53" s="118"/>
      <c r="HE53" s="118"/>
      <c r="HF53" s="118"/>
      <c r="HG53" s="118"/>
      <c r="HH53" s="118"/>
      <c r="HI53" s="118"/>
      <c r="HJ53" s="118"/>
      <c r="HK53" s="118"/>
      <c r="HL53" s="118"/>
    </row>
    <row r="54" spans="1:220" s="74" customFormat="1" ht="30" hidden="1" customHeight="1" x14ac:dyDescent="0.35">
      <c r="A54" s="119">
        <v>45</v>
      </c>
      <c r="B54" s="3"/>
      <c r="C54" s="6"/>
      <c r="D54" s="3"/>
      <c r="E54" s="246"/>
      <c r="F54" s="8"/>
      <c r="G54" s="8"/>
      <c r="H54" s="8"/>
      <c r="I54" s="8"/>
      <c r="J54" s="8"/>
      <c r="K54" s="8"/>
      <c r="L54" s="8"/>
      <c r="M54" s="8"/>
      <c r="N54" s="8"/>
      <c r="O54" s="9"/>
      <c r="P54" s="238"/>
      <c r="Q54" s="12"/>
      <c r="R54" s="8"/>
      <c r="S54" s="8"/>
      <c r="T54" s="8"/>
      <c r="U54" s="8"/>
      <c r="V54" s="8"/>
      <c r="W54" s="8"/>
      <c r="X54" s="8"/>
      <c r="Y54" s="8"/>
      <c r="Z54" s="13"/>
      <c r="AA54" s="238"/>
      <c r="AB54" s="12"/>
      <c r="AC54" s="8"/>
      <c r="AD54" s="8"/>
      <c r="AE54" s="8"/>
      <c r="AF54" s="8"/>
      <c r="AG54" s="8"/>
      <c r="AH54" s="8"/>
      <c r="AI54" s="8"/>
      <c r="AJ54" s="8"/>
      <c r="AK54" s="13"/>
      <c r="AL54" s="238"/>
      <c r="AM54" s="12"/>
      <c r="AN54" s="8"/>
      <c r="AO54" s="8"/>
      <c r="AP54" s="8"/>
      <c r="AQ54" s="8"/>
      <c r="AR54" s="8"/>
      <c r="AS54" s="8"/>
      <c r="AT54" s="8"/>
      <c r="AU54" s="8"/>
      <c r="AV54" s="13"/>
      <c r="AW54" s="238"/>
      <c r="AX54" s="12"/>
      <c r="AY54" s="8"/>
      <c r="AZ54" s="8"/>
      <c r="BA54" s="8"/>
      <c r="BB54" s="8"/>
      <c r="BC54" s="8"/>
      <c r="BD54" s="8"/>
      <c r="BE54" s="8"/>
      <c r="BF54" s="8"/>
      <c r="BG54" s="13"/>
      <c r="BH54" s="238"/>
      <c r="BI54" s="12"/>
      <c r="BJ54" s="8"/>
      <c r="BK54" s="8"/>
      <c r="BL54" s="8"/>
      <c r="BM54" s="8"/>
      <c r="BN54" s="8"/>
      <c r="BO54" s="8"/>
      <c r="BP54" s="8"/>
      <c r="BQ54" s="8"/>
      <c r="BR54" s="13"/>
      <c r="BS54" s="238"/>
      <c r="BT54" s="12"/>
      <c r="BU54" s="8"/>
      <c r="BV54" s="8"/>
      <c r="BW54" s="8"/>
      <c r="BX54" s="8"/>
      <c r="BY54" s="8"/>
      <c r="BZ54" s="8"/>
      <c r="CA54" s="8"/>
      <c r="CB54" s="12"/>
      <c r="CC54" s="8"/>
      <c r="CD54" s="8"/>
      <c r="CE54" s="8"/>
      <c r="CF54" s="8"/>
      <c r="CG54" s="8"/>
      <c r="CH54" s="8"/>
      <c r="CI54" s="238"/>
      <c r="CJ54" s="12"/>
      <c r="CK54" s="8"/>
      <c r="CL54" s="8"/>
      <c r="CM54" s="8"/>
      <c r="CN54" s="8"/>
      <c r="CO54" s="8"/>
      <c r="CP54" s="8"/>
      <c r="CQ54" s="8"/>
      <c r="CR54" s="12"/>
      <c r="CS54" s="8"/>
      <c r="CT54" s="8"/>
      <c r="CU54" s="8"/>
      <c r="CV54" s="8"/>
      <c r="CW54" s="8"/>
      <c r="CX54" s="8"/>
      <c r="CY54" s="238"/>
      <c r="CZ54" s="12"/>
      <c r="DA54" s="8"/>
      <c r="DB54" s="8"/>
      <c r="DC54" s="8"/>
      <c r="DD54" s="8"/>
      <c r="DE54" s="8"/>
      <c r="DF54" s="8"/>
      <c r="DG54" s="8"/>
      <c r="DH54" s="12"/>
      <c r="DI54" s="8"/>
      <c r="DJ54" s="8"/>
      <c r="DK54" s="8"/>
      <c r="DL54" s="8"/>
      <c r="DM54" s="8"/>
      <c r="DN54" s="8"/>
      <c r="DO54" s="238"/>
      <c r="DP54" s="12"/>
      <c r="DQ54" s="8"/>
      <c r="DR54" s="8"/>
      <c r="DS54" s="8"/>
      <c r="DT54" s="8"/>
      <c r="DU54" s="8"/>
      <c r="DV54" s="8"/>
      <c r="DW54" s="8"/>
      <c r="DX54" s="12"/>
      <c r="DY54" s="8"/>
      <c r="DZ54" s="8"/>
      <c r="EA54" s="8"/>
      <c r="EB54" s="8"/>
      <c r="EC54" s="8"/>
      <c r="ED54" s="8"/>
      <c r="EE54" s="238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238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238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238"/>
      <c r="FP54" s="12"/>
      <c r="FQ54" s="12"/>
      <c r="FR54" s="12"/>
      <c r="FS54" s="12"/>
      <c r="FT54" s="12"/>
      <c r="FU54" s="238"/>
      <c r="FV54" s="12"/>
      <c r="FW54" s="12"/>
      <c r="FX54" s="12"/>
      <c r="FY54" s="12"/>
      <c r="FZ54" s="12"/>
      <c r="GA54" s="120"/>
      <c r="GB54" s="118" t="str">
        <f t="shared" si="18"/>
        <v/>
      </c>
      <c r="GC54" s="139" t="str">
        <f t="shared" si="19"/>
        <v/>
      </c>
      <c r="GD54" s="118">
        <f t="shared" si="20"/>
        <v>0</v>
      </c>
      <c r="GE54" s="118">
        <f t="shared" si="21"/>
        <v>0</v>
      </c>
      <c r="GF54" s="118">
        <f t="shared" si="22"/>
        <v>0</v>
      </c>
      <c r="GG54" s="118">
        <f t="shared" si="23"/>
        <v>0</v>
      </c>
      <c r="GH54" s="118">
        <f t="shared" si="24"/>
        <v>0</v>
      </c>
      <c r="GI54" s="118">
        <f t="shared" si="25"/>
        <v>0</v>
      </c>
      <c r="GJ54" s="118">
        <f t="shared" si="26"/>
        <v>0</v>
      </c>
      <c r="GK54" s="118">
        <f t="shared" si="27"/>
        <v>0</v>
      </c>
      <c r="GL54" s="118">
        <f t="shared" si="28"/>
        <v>0</v>
      </c>
      <c r="GM54" s="118">
        <f t="shared" si="29"/>
        <v>0</v>
      </c>
      <c r="GN54" s="118">
        <f t="shared" si="30"/>
        <v>0</v>
      </c>
      <c r="GO54" s="118">
        <f t="shared" si="31"/>
        <v>0</v>
      </c>
      <c r="GP54" s="118">
        <f t="shared" si="32"/>
        <v>0</v>
      </c>
      <c r="GQ54" s="118">
        <f t="shared" si="33"/>
        <v>0</v>
      </c>
      <c r="GR54" s="118">
        <f t="shared" si="34"/>
        <v>0</v>
      </c>
      <c r="GS54" s="121">
        <f t="shared" si="35"/>
        <v>0</v>
      </c>
      <c r="GT54"/>
      <c r="GU54"/>
      <c r="GV54"/>
      <c r="GW54" s="80"/>
      <c r="GX54" s="118"/>
      <c r="GY54" s="118"/>
      <c r="GZ54" s="118"/>
      <c r="HA54" s="118"/>
      <c r="HB54" s="118"/>
      <c r="HC54" s="118"/>
      <c r="HD54" s="118"/>
      <c r="HE54" s="118"/>
      <c r="HF54" s="118"/>
      <c r="HG54" s="118"/>
      <c r="HH54" s="118"/>
      <c r="HI54" s="118"/>
      <c r="HJ54" s="118"/>
      <c r="HK54" s="118"/>
      <c r="HL54" s="118"/>
    </row>
    <row r="55" spans="1:220" s="74" customFormat="1" ht="30" hidden="1" customHeight="1" x14ac:dyDescent="0.35">
      <c r="A55" s="119">
        <v>46</v>
      </c>
      <c r="B55" s="4"/>
      <c r="C55" s="7"/>
      <c r="D55" s="4"/>
      <c r="E55" s="246"/>
      <c r="F55" s="10"/>
      <c r="G55" s="10"/>
      <c r="H55" s="10"/>
      <c r="I55" s="10"/>
      <c r="J55" s="10"/>
      <c r="K55" s="10"/>
      <c r="L55" s="10"/>
      <c r="M55" s="10"/>
      <c r="N55" s="10"/>
      <c r="O55" s="11"/>
      <c r="P55" s="238"/>
      <c r="Q55" s="14"/>
      <c r="R55" s="10"/>
      <c r="S55" s="10"/>
      <c r="T55" s="10"/>
      <c r="U55" s="10"/>
      <c r="V55" s="10"/>
      <c r="W55" s="10"/>
      <c r="X55" s="10"/>
      <c r="Y55" s="10"/>
      <c r="Z55" s="15"/>
      <c r="AA55" s="238"/>
      <c r="AB55" s="14"/>
      <c r="AC55" s="10"/>
      <c r="AD55" s="10"/>
      <c r="AE55" s="10"/>
      <c r="AF55" s="10"/>
      <c r="AG55" s="10"/>
      <c r="AH55" s="10"/>
      <c r="AI55" s="10"/>
      <c r="AJ55" s="10"/>
      <c r="AK55" s="15"/>
      <c r="AL55" s="238"/>
      <c r="AM55" s="14"/>
      <c r="AN55" s="10"/>
      <c r="AO55" s="10"/>
      <c r="AP55" s="10"/>
      <c r="AQ55" s="10"/>
      <c r="AR55" s="10"/>
      <c r="AS55" s="10"/>
      <c r="AT55" s="10"/>
      <c r="AU55" s="10"/>
      <c r="AV55" s="15"/>
      <c r="AW55" s="238"/>
      <c r="AX55" s="14"/>
      <c r="AY55" s="10"/>
      <c r="AZ55" s="10"/>
      <c r="BA55" s="10"/>
      <c r="BB55" s="10"/>
      <c r="BC55" s="10"/>
      <c r="BD55" s="10"/>
      <c r="BE55" s="10"/>
      <c r="BF55" s="10"/>
      <c r="BG55" s="15"/>
      <c r="BH55" s="238"/>
      <c r="BI55" s="14"/>
      <c r="BJ55" s="10"/>
      <c r="BK55" s="10"/>
      <c r="BL55" s="10"/>
      <c r="BM55" s="10"/>
      <c r="BN55" s="10"/>
      <c r="BO55" s="10"/>
      <c r="BP55" s="10"/>
      <c r="BQ55" s="10"/>
      <c r="BR55" s="15"/>
      <c r="BS55" s="238"/>
      <c r="BT55" s="14"/>
      <c r="BU55" s="10"/>
      <c r="BV55" s="10"/>
      <c r="BW55" s="10"/>
      <c r="BX55" s="10"/>
      <c r="BY55" s="10"/>
      <c r="BZ55" s="10"/>
      <c r="CA55" s="10"/>
      <c r="CB55" s="14"/>
      <c r="CC55" s="10"/>
      <c r="CD55" s="10"/>
      <c r="CE55" s="10"/>
      <c r="CF55" s="10"/>
      <c r="CG55" s="10"/>
      <c r="CH55" s="10"/>
      <c r="CI55" s="238"/>
      <c r="CJ55" s="14"/>
      <c r="CK55" s="10"/>
      <c r="CL55" s="10"/>
      <c r="CM55" s="10"/>
      <c r="CN55" s="10"/>
      <c r="CO55" s="10"/>
      <c r="CP55" s="10"/>
      <c r="CQ55" s="10"/>
      <c r="CR55" s="14"/>
      <c r="CS55" s="10"/>
      <c r="CT55" s="10"/>
      <c r="CU55" s="10"/>
      <c r="CV55" s="10"/>
      <c r="CW55" s="10"/>
      <c r="CX55" s="10"/>
      <c r="CY55" s="238"/>
      <c r="CZ55" s="14"/>
      <c r="DA55" s="10"/>
      <c r="DB55" s="10"/>
      <c r="DC55" s="10"/>
      <c r="DD55" s="10"/>
      <c r="DE55" s="10"/>
      <c r="DF55" s="10"/>
      <c r="DG55" s="10"/>
      <c r="DH55" s="14"/>
      <c r="DI55" s="10"/>
      <c r="DJ55" s="10"/>
      <c r="DK55" s="10"/>
      <c r="DL55" s="10"/>
      <c r="DM55" s="10"/>
      <c r="DN55" s="10"/>
      <c r="DO55" s="238"/>
      <c r="DP55" s="14"/>
      <c r="DQ55" s="10"/>
      <c r="DR55" s="10"/>
      <c r="DS55" s="10"/>
      <c r="DT55" s="10"/>
      <c r="DU55" s="10"/>
      <c r="DV55" s="10"/>
      <c r="DW55" s="10"/>
      <c r="DX55" s="14"/>
      <c r="DY55" s="10"/>
      <c r="DZ55" s="10"/>
      <c r="EA55" s="10"/>
      <c r="EB55" s="10"/>
      <c r="EC55" s="10"/>
      <c r="ED55" s="10"/>
      <c r="EE55" s="238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238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238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238"/>
      <c r="FP55" s="14"/>
      <c r="FQ55" s="14"/>
      <c r="FR55" s="14"/>
      <c r="FS55" s="14"/>
      <c r="FT55" s="14"/>
      <c r="FU55" s="238"/>
      <c r="FV55" s="14"/>
      <c r="FW55" s="14"/>
      <c r="FX55" s="14"/>
      <c r="FY55" s="14"/>
      <c r="FZ55" s="14"/>
      <c r="GA55" s="120"/>
      <c r="GB55" s="122" t="str">
        <f t="shared" si="18"/>
        <v/>
      </c>
      <c r="GC55" s="140" t="str">
        <f t="shared" si="19"/>
        <v/>
      </c>
      <c r="GD55" s="122">
        <f t="shared" si="20"/>
        <v>0</v>
      </c>
      <c r="GE55" s="122">
        <f t="shared" si="21"/>
        <v>0</v>
      </c>
      <c r="GF55" s="122">
        <f t="shared" si="22"/>
        <v>0</v>
      </c>
      <c r="GG55" s="122">
        <f t="shared" si="23"/>
        <v>0</v>
      </c>
      <c r="GH55" s="122">
        <f t="shared" si="24"/>
        <v>0</v>
      </c>
      <c r="GI55" s="122">
        <f t="shared" si="25"/>
        <v>0</v>
      </c>
      <c r="GJ55" s="122">
        <f t="shared" si="26"/>
        <v>0</v>
      </c>
      <c r="GK55" s="122">
        <f t="shared" si="27"/>
        <v>0</v>
      </c>
      <c r="GL55" s="122">
        <f t="shared" si="28"/>
        <v>0</v>
      </c>
      <c r="GM55" s="122">
        <f t="shared" si="29"/>
        <v>0</v>
      </c>
      <c r="GN55" s="122">
        <f t="shared" si="30"/>
        <v>0</v>
      </c>
      <c r="GO55" s="122">
        <f t="shared" si="31"/>
        <v>0</v>
      </c>
      <c r="GP55" s="122">
        <f t="shared" si="32"/>
        <v>0</v>
      </c>
      <c r="GQ55" s="122">
        <f t="shared" si="33"/>
        <v>0</v>
      </c>
      <c r="GR55" s="122">
        <f t="shared" si="34"/>
        <v>0</v>
      </c>
      <c r="GS55" s="123">
        <f t="shared" si="35"/>
        <v>0</v>
      </c>
      <c r="GT55"/>
      <c r="GU55"/>
      <c r="GV55"/>
      <c r="GW55" s="124"/>
      <c r="GX55" s="118"/>
      <c r="GY55" s="118"/>
      <c r="GZ55" s="118"/>
      <c r="HA55" s="118"/>
      <c r="HB55" s="118"/>
      <c r="HC55" s="118"/>
      <c r="HD55" s="118"/>
      <c r="HE55" s="118"/>
      <c r="HF55" s="118"/>
      <c r="HG55" s="118"/>
      <c r="HH55" s="118"/>
      <c r="HI55" s="118"/>
      <c r="HJ55" s="118"/>
      <c r="HK55" s="118"/>
      <c r="HL55" s="118"/>
    </row>
    <row r="56" spans="1:220" s="74" customFormat="1" ht="30" hidden="1" customHeight="1" x14ac:dyDescent="0.35">
      <c r="A56" s="119">
        <v>47</v>
      </c>
      <c r="B56" s="3"/>
      <c r="C56" s="6"/>
      <c r="D56" s="3"/>
      <c r="E56" s="246"/>
      <c r="F56" s="8"/>
      <c r="G56" s="8"/>
      <c r="H56" s="8"/>
      <c r="I56" s="8"/>
      <c r="J56" s="8"/>
      <c r="K56" s="8"/>
      <c r="L56" s="8"/>
      <c r="M56" s="8"/>
      <c r="N56" s="8"/>
      <c r="O56" s="9"/>
      <c r="P56" s="238"/>
      <c r="Q56" s="12"/>
      <c r="R56" s="8"/>
      <c r="S56" s="8"/>
      <c r="T56" s="8"/>
      <c r="U56" s="8"/>
      <c r="V56" s="8"/>
      <c r="W56" s="8"/>
      <c r="X56" s="8"/>
      <c r="Y56" s="8"/>
      <c r="Z56" s="13"/>
      <c r="AA56" s="238"/>
      <c r="AB56" s="12"/>
      <c r="AC56" s="8"/>
      <c r="AD56" s="8"/>
      <c r="AE56" s="8"/>
      <c r="AF56" s="8"/>
      <c r="AG56" s="8"/>
      <c r="AH56" s="8"/>
      <c r="AI56" s="8"/>
      <c r="AJ56" s="8"/>
      <c r="AK56" s="13"/>
      <c r="AL56" s="238"/>
      <c r="AM56" s="12"/>
      <c r="AN56" s="8"/>
      <c r="AO56" s="8"/>
      <c r="AP56" s="8"/>
      <c r="AQ56" s="8"/>
      <c r="AR56" s="8"/>
      <c r="AS56" s="8"/>
      <c r="AT56" s="8"/>
      <c r="AU56" s="8"/>
      <c r="AV56" s="13"/>
      <c r="AW56" s="238"/>
      <c r="AX56" s="12"/>
      <c r="AY56" s="8"/>
      <c r="AZ56" s="8"/>
      <c r="BA56" s="8"/>
      <c r="BB56" s="8"/>
      <c r="BC56" s="8"/>
      <c r="BD56" s="8"/>
      <c r="BE56" s="8"/>
      <c r="BF56" s="8"/>
      <c r="BG56" s="13"/>
      <c r="BH56" s="238"/>
      <c r="BI56" s="12"/>
      <c r="BJ56" s="8"/>
      <c r="BK56" s="8"/>
      <c r="BL56" s="8"/>
      <c r="BM56" s="8"/>
      <c r="BN56" s="8"/>
      <c r="BO56" s="8"/>
      <c r="BP56" s="8"/>
      <c r="BQ56" s="8"/>
      <c r="BR56" s="13"/>
      <c r="BS56" s="238"/>
      <c r="BT56" s="12"/>
      <c r="BU56" s="8"/>
      <c r="BV56" s="8"/>
      <c r="BW56" s="8"/>
      <c r="BX56" s="8"/>
      <c r="BY56" s="8"/>
      <c r="BZ56" s="8"/>
      <c r="CA56" s="8"/>
      <c r="CB56" s="12"/>
      <c r="CC56" s="8"/>
      <c r="CD56" s="8"/>
      <c r="CE56" s="8"/>
      <c r="CF56" s="8"/>
      <c r="CG56" s="8"/>
      <c r="CH56" s="8"/>
      <c r="CI56" s="238"/>
      <c r="CJ56" s="12"/>
      <c r="CK56" s="8"/>
      <c r="CL56" s="8"/>
      <c r="CM56" s="8"/>
      <c r="CN56" s="8"/>
      <c r="CO56" s="8"/>
      <c r="CP56" s="8"/>
      <c r="CQ56" s="8"/>
      <c r="CR56" s="12"/>
      <c r="CS56" s="8"/>
      <c r="CT56" s="8"/>
      <c r="CU56" s="8"/>
      <c r="CV56" s="8"/>
      <c r="CW56" s="8"/>
      <c r="CX56" s="8"/>
      <c r="CY56" s="238"/>
      <c r="CZ56" s="12"/>
      <c r="DA56" s="8"/>
      <c r="DB56" s="8"/>
      <c r="DC56" s="8"/>
      <c r="DD56" s="8"/>
      <c r="DE56" s="8"/>
      <c r="DF56" s="8"/>
      <c r="DG56" s="8"/>
      <c r="DH56" s="12"/>
      <c r="DI56" s="8"/>
      <c r="DJ56" s="8"/>
      <c r="DK56" s="8"/>
      <c r="DL56" s="8"/>
      <c r="DM56" s="8"/>
      <c r="DN56" s="8"/>
      <c r="DO56" s="238"/>
      <c r="DP56" s="12"/>
      <c r="DQ56" s="8"/>
      <c r="DR56" s="8"/>
      <c r="DS56" s="8"/>
      <c r="DT56" s="8"/>
      <c r="DU56" s="8"/>
      <c r="DV56" s="8"/>
      <c r="DW56" s="8"/>
      <c r="DX56" s="12"/>
      <c r="DY56" s="8"/>
      <c r="DZ56" s="8"/>
      <c r="EA56" s="8"/>
      <c r="EB56" s="8"/>
      <c r="EC56" s="8"/>
      <c r="ED56" s="8"/>
      <c r="EE56" s="238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238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238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238"/>
      <c r="FP56" s="12"/>
      <c r="FQ56" s="12"/>
      <c r="FR56" s="12"/>
      <c r="FS56" s="12"/>
      <c r="FT56" s="12"/>
      <c r="FU56" s="238"/>
      <c r="FV56" s="12"/>
      <c r="FW56" s="12"/>
      <c r="FX56" s="12"/>
      <c r="FY56" s="12"/>
      <c r="FZ56" s="12"/>
      <c r="GA56" s="120"/>
      <c r="GB56" s="118" t="str">
        <f t="shared" si="18"/>
        <v/>
      </c>
      <c r="GC56" s="139" t="str">
        <f t="shared" si="19"/>
        <v/>
      </c>
      <c r="GD56" s="118">
        <f t="shared" si="20"/>
        <v>0</v>
      </c>
      <c r="GE56" s="118">
        <f t="shared" si="21"/>
        <v>0</v>
      </c>
      <c r="GF56" s="118">
        <f t="shared" si="22"/>
        <v>0</v>
      </c>
      <c r="GG56" s="118">
        <f t="shared" si="23"/>
        <v>0</v>
      </c>
      <c r="GH56" s="118">
        <f t="shared" si="24"/>
        <v>0</v>
      </c>
      <c r="GI56" s="118">
        <f t="shared" si="25"/>
        <v>0</v>
      </c>
      <c r="GJ56" s="118">
        <f t="shared" si="26"/>
        <v>0</v>
      </c>
      <c r="GK56" s="118">
        <f t="shared" si="27"/>
        <v>0</v>
      </c>
      <c r="GL56" s="118">
        <f t="shared" si="28"/>
        <v>0</v>
      </c>
      <c r="GM56" s="118">
        <f t="shared" si="29"/>
        <v>0</v>
      </c>
      <c r="GN56" s="118">
        <f t="shared" si="30"/>
        <v>0</v>
      </c>
      <c r="GO56" s="118">
        <f t="shared" si="31"/>
        <v>0</v>
      </c>
      <c r="GP56" s="118">
        <f t="shared" si="32"/>
        <v>0</v>
      </c>
      <c r="GQ56" s="118">
        <f t="shared" si="33"/>
        <v>0</v>
      </c>
      <c r="GR56" s="118">
        <f t="shared" si="34"/>
        <v>0</v>
      </c>
      <c r="GS56" s="121">
        <f t="shared" si="35"/>
        <v>0</v>
      </c>
      <c r="GT56"/>
      <c r="GU56"/>
      <c r="GV56"/>
      <c r="GW56" s="124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8"/>
      <c r="HK56" s="118"/>
      <c r="HL56" s="118"/>
    </row>
    <row r="57" spans="1:220" s="74" customFormat="1" ht="30" hidden="1" customHeight="1" x14ac:dyDescent="0.35">
      <c r="A57" s="119">
        <v>48</v>
      </c>
      <c r="B57" s="4"/>
      <c r="C57" s="7"/>
      <c r="D57" s="4"/>
      <c r="E57" s="246"/>
      <c r="F57" s="10"/>
      <c r="G57" s="10"/>
      <c r="H57" s="10"/>
      <c r="I57" s="10"/>
      <c r="J57" s="10"/>
      <c r="K57" s="10"/>
      <c r="L57" s="10"/>
      <c r="M57" s="10"/>
      <c r="N57" s="10"/>
      <c r="O57" s="11"/>
      <c r="P57" s="238"/>
      <c r="Q57" s="14"/>
      <c r="R57" s="10"/>
      <c r="S57" s="10"/>
      <c r="T57" s="10"/>
      <c r="U57" s="10"/>
      <c r="V57" s="10"/>
      <c r="W57" s="10"/>
      <c r="X57" s="10"/>
      <c r="Y57" s="10"/>
      <c r="Z57" s="15"/>
      <c r="AA57" s="238"/>
      <c r="AB57" s="14"/>
      <c r="AC57" s="10"/>
      <c r="AD57" s="10"/>
      <c r="AE57" s="10"/>
      <c r="AF57" s="10"/>
      <c r="AG57" s="10"/>
      <c r="AH57" s="10"/>
      <c r="AI57" s="10"/>
      <c r="AJ57" s="10"/>
      <c r="AK57" s="15"/>
      <c r="AL57" s="238"/>
      <c r="AM57" s="14"/>
      <c r="AN57" s="10"/>
      <c r="AO57" s="10"/>
      <c r="AP57" s="10"/>
      <c r="AQ57" s="10"/>
      <c r="AR57" s="10"/>
      <c r="AS57" s="10"/>
      <c r="AT57" s="10"/>
      <c r="AU57" s="10"/>
      <c r="AV57" s="15"/>
      <c r="AW57" s="238"/>
      <c r="AX57" s="14"/>
      <c r="AY57" s="10"/>
      <c r="AZ57" s="10"/>
      <c r="BA57" s="10"/>
      <c r="BB57" s="10"/>
      <c r="BC57" s="10"/>
      <c r="BD57" s="10"/>
      <c r="BE57" s="10"/>
      <c r="BF57" s="10"/>
      <c r="BG57" s="15"/>
      <c r="BH57" s="238"/>
      <c r="BI57" s="14"/>
      <c r="BJ57" s="10"/>
      <c r="BK57" s="10"/>
      <c r="BL57" s="10"/>
      <c r="BM57" s="10"/>
      <c r="BN57" s="10"/>
      <c r="BO57" s="10"/>
      <c r="BP57" s="10"/>
      <c r="BQ57" s="10"/>
      <c r="BR57" s="15"/>
      <c r="BS57" s="238"/>
      <c r="BT57" s="14"/>
      <c r="BU57" s="10"/>
      <c r="BV57" s="10"/>
      <c r="BW57" s="10"/>
      <c r="BX57" s="10"/>
      <c r="BY57" s="10"/>
      <c r="BZ57" s="10"/>
      <c r="CA57" s="10"/>
      <c r="CB57" s="14"/>
      <c r="CC57" s="10"/>
      <c r="CD57" s="10"/>
      <c r="CE57" s="10"/>
      <c r="CF57" s="10"/>
      <c r="CG57" s="10"/>
      <c r="CH57" s="10"/>
      <c r="CI57" s="238"/>
      <c r="CJ57" s="14"/>
      <c r="CK57" s="10"/>
      <c r="CL57" s="10"/>
      <c r="CM57" s="10"/>
      <c r="CN57" s="10"/>
      <c r="CO57" s="10"/>
      <c r="CP57" s="10"/>
      <c r="CQ57" s="10"/>
      <c r="CR57" s="14"/>
      <c r="CS57" s="10"/>
      <c r="CT57" s="10"/>
      <c r="CU57" s="10"/>
      <c r="CV57" s="10"/>
      <c r="CW57" s="10"/>
      <c r="CX57" s="10"/>
      <c r="CY57" s="238"/>
      <c r="CZ57" s="14"/>
      <c r="DA57" s="10"/>
      <c r="DB57" s="10"/>
      <c r="DC57" s="10"/>
      <c r="DD57" s="10"/>
      <c r="DE57" s="10"/>
      <c r="DF57" s="10"/>
      <c r="DG57" s="10"/>
      <c r="DH57" s="14"/>
      <c r="DI57" s="10"/>
      <c r="DJ57" s="10"/>
      <c r="DK57" s="10"/>
      <c r="DL57" s="10"/>
      <c r="DM57" s="10"/>
      <c r="DN57" s="10"/>
      <c r="DO57" s="238"/>
      <c r="DP57" s="14"/>
      <c r="DQ57" s="10"/>
      <c r="DR57" s="10"/>
      <c r="DS57" s="10"/>
      <c r="DT57" s="10"/>
      <c r="DU57" s="10"/>
      <c r="DV57" s="10"/>
      <c r="DW57" s="10"/>
      <c r="DX57" s="14"/>
      <c r="DY57" s="10"/>
      <c r="DZ57" s="10"/>
      <c r="EA57" s="10"/>
      <c r="EB57" s="10"/>
      <c r="EC57" s="10"/>
      <c r="ED57" s="10"/>
      <c r="EE57" s="238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238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238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238"/>
      <c r="FP57" s="14"/>
      <c r="FQ57" s="14"/>
      <c r="FR57" s="14"/>
      <c r="FS57" s="14"/>
      <c r="FT57" s="14"/>
      <c r="FU57" s="238"/>
      <c r="FV57" s="14"/>
      <c r="FW57" s="14"/>
      <c r="FX57" s="14"/>
      <c r="FY57" s="14"/>
      <c r="FZ57" s="14"/>
      <c r="GA57" s="120"/>
      <c r="GB57" s="122" t="str">
        <f t="shared" si="18"/>
        <v/>
      </c>
      <c r="GC57" s="140" t="str">
        <f t="shared" si="19"/>
        <v/>
      </c>
      <c r="GD57" s="122">
        <f t="shared" si="20"/>
        <v>0</v>
      </c>
      <c r="GE57" s="122">
        <f t="shared" si="21"/>
        <v>0</v>
      </c>
      <c r="GF57" s="122">
        <f t="shared" si="22"/>
        <v>0</v>
      </c>
      <c r="GG57" s="122">
        <f t="shared" si="23"/>
        <v>0</v>
      </c>
      <c r="GH57" s="122">
        <f t="shared" si="24"/>
        <v>0</v>
      </c>
      <c r="GI57" s="122">
        <f t="shared" si="25"/>
        <v>0</v>
      </c>
      <c r="GJ57" s="122">
        <f t="shared" si="26"/>
        <v>0</v>
      </c>
      <c r="GK57" s="122">
        <f t="shared" si="27"/>
        <v>0</v>
      </c>
      <c r="GL57" s="122">
        <f t="shared" si="28"/>
        <v>0</v>
      </c>
      <c r="GM57" s="122">
        <f t="shared" si="29"/>
        <v>0</v>
      </c>
      <c r="GN57" s="122">
        <f t="shared" si="30"/>
        <v>0</v>
      </c>
      <c r="GO57" s="122">
        <f t="shared" si="31"/>
        <v>0</v>
      </c>
      <c r="GP57" s="122">
        <f t="shared" si="32"/>
        <v>0</v>
      </c>
      <c r="GQ57" s="122">
        <f t="shared" si="33"/>
        <v>0</v>
      </c>
      <c r="GR57" s="122">
        <f t="shared" si="34"/>
        <v>0</v>
      </c>
      <c r="GS57" s="123">
        <f t="shared" si="35"/>
        <v>0</v>
      </c>
      <c r="GT57"/>
      <c r="GU57"/>
      <c r="GV57"/>
      <c r="GW57" s="124"/>
      <c r="GX57" s="118"/>
      <c r="GY57" s="118"/>
      <c r="GZ57" s="118"/>
      <c r="HA57" s="118"/>
      <c r="HB57" s="118"/>
      <c r="HC57" s="118"/>
      <c r="HD57" s="118"/>
      <c r="HE57" s="118"/>
      <c r="HF57" s="118"/>
      <c r="HG57" s="118"/>
      <c r="HH57" s="118"/>
      <c r="HI57" s="118"/>
      <c r="HJ57" s="118"/>
      <c r="HK57" s="118"/>
      <c r="HL57" s="118"/>
    </row>
    <row r="58" spans="1:220" s="74" customFormat="1" ht="30" hidden="1" customHeight="1" x14ac:dyDescent="0.35">
      <c r="A58" s="119">
        <v>49</v>
      </c>
      <c r="B58" s="3"/>
      <c r="C58" s="6"/>
      <c r="D58" s="3"/>
      <c r="E58" s="246"/>
      <c r="F58" s="8"/>
      <c r="G58" s="8"/>
      <c r="H58" s="8"/>
      <c r="I58" s="8"/>
      <c r="J58" s="8"/>
      <c r="K58" s="8"/>
      <c r="L58" s="8"/>
      <c r="M58" s="8"/>
      <c r="N58" s="8"/>
      <c r="O58" s="9"/>
      <c r="P58" s="238"/>
      <c r="Q58" s="12"/>
      <c r="R58" s="8"/>
      <c r="S58" s="8"/>
      <c r="T58" s="8"/>
      <c r="U58" s="8"/>
      <c r="V58" s="8"/>
      <c r="W58" s="8"/>
      <c r="X58" s="8"/>
      <c r="Y58" s="8"/>
      <c r="Z58" s="13"/>
      <c r="AA58" s="238"/>
      <c r="AB58" s="12"/>
      <c r="AC58" s="8"/>
      <c r="AD58" s="8"/>
      <c r="AE58" s="8"/>
      <c r="AF58" s="8"/>
      <c r="AG58" s="8"/>
      <c r="AH58" s="8"/>
      <c r="AI58" s="8"/>
      <c r="AJ58" s="8"/>
      <c r="AK58" s="13"/>
      <c r="AL58" s="238"/>
      <c r="AM58" s="12"/>
      <c r="AN58" s="8"/>
      <c r="AO58" s="8"/>
      <c r="AP58" s="8"/>
      <c r="AQ58" s="8"/>
      <c r="AR58" s="8"/>
      <c r="AS58" s="8"/>
      <c r="AT58" s="8"/>
      <c r="AU58" s="8"/>
      <c r="AV58" s="13"/>
      <c r="AW58" s="238"/>
      <c r="AX58" s="12"/>
      <c r="AY58" s="8"/>
      <c r="AZ58" s="8"/>
      <c r="BA58" s="8"/>
      <c r="BB58" s="8"/>
      <c r="BC58" s="8"/>
      <c r="BD58" s="8"/>
      <c r="BE58" s="8"/>
      <c r="BF58" s="8"/>
      <c r="BG58" s="13"/>
      <c r="BH58" s="238"/>
      <c r="BI58" s="12"/>
      <c r="BJ58" s="8"/>
      <c r="BK58" s="8"/>
      <c r="BL58" s="8"/>
      <c r="BM58" s="8"/>
      <c r="BN58" s="8"/>
      <c r="BO58" s="8"/>
      <c r="BP58" s="8"/>
      <c r="BQ58" s="8"/>
      <c r="BR58" s="13"/>
      <c r="BS58" s="238"/>
      <c r="BT58" s="12"/>
      <c r="BU58" s="8"/>
      <c r="BV58" s="8"/>
      <c r="BW58" s="8"/>
      <c r="BX58" s="8"/>
      <c r="BY58" s="8"/>
      <c r="BZ58" s="8"/>
      <c r="CA58" s="8"/>
      <c r="CB58" s="12"/>
      <c r="CC58" s="8"/>
      <c r="CD58" s="8"/>
      <c r="CE58" s="8"/>
      <c r="CF58" s="8"/>
      <c r="CG58" s="8"/>
      <c r="CH58" s="8"/>
      <c r="CI58" s="238"/>
      <c r="CJ58" s="12"/>
      <c r="CK58" s="8"/>
      <c r="CL58" s="8"/>
      <c r="CM58" s="8"/>
      <c r="CN58" s="8"/>
      <c r="CO58" s="8"/>
      <c r="CP58" s="8"/>
      <c r="CQ58" s="8"/>
      <c r="CR58" s="12"/>
      <c r="CS58" s="8"/>
      <c r="CT58" s="8"/>
      <c r="CU58" s="8"/>
      <c r="CV58" s="8"/>
      <c r="CW58" s="8"/>
      <c r="CX58" s="8"/>
      <c r="CY58" s="238"/>
      <c r="CZ58" s="12"/>
      <c r="DA58" s="8"/>
      <c r="DB58" s="8"/>
      <c r="DC58" s="8"/>
      <c r="DD58" s="8"/>
      <c r="DE58" s="8"/>
      <c r="DF58" s="8"/>
      <c r="DG58" s="8"/>
      <c r="DH58" s="12"/>
      <c r="DI58" s="8"/>
      <c r="DJ58" s="8"/>
      <c r="DK58" s="8"/>
      <c r="DL58" s="8"/>
      <c r="DM58" s="8"/>
      <c r="DN58" s="8"/>
      <c r="DO58" s="238"/>
      <c r="DP58" s="12"/>
      <c r="DQ58" s="8"/>
      <c r="DR58" s="8"/>
      <c r="DS58" s="8"/>
      <c r="DT58" s="8"/>
      <c r="DU58" s="8"/>
      <c r="DV58" s="8"/>
      <c r="DW58" s="8"/>
      <c r="DX58" s="12"/>
      <c r="DY58" s="8"/>
      <c r="DZ58" s="8"/>
      <c r="EA58" s="8"/>
      <c r="EB58" s="8"/>
      <c r="EC58" s="8"/>
      <c r="ED58" s="8"/>
      <c r="EE58" s="238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238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238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238"/>
      <c r="FP58" s="12"/>
      <c r="FQ58" s="12"/>
      <c r="FR58" s="12"/>
      <c r="FS58" s="12"/>
      <c r="FT58" s="12"/>
      <c r="FU58" s="238"/>
      <c r="FV58" s="12"/>
      <c r="FW58" s="12"/>
      <c r="FX58" s="12"/>
      <c r="FY58" s="12"/>
      <c r="FZ58" s="12"/>
      <c r="GA58" s="120"/>
      <c r="GB58" s="118" t="str">
        <f t="shared" si="18"/>
        <v/>
      </c>
      <c r="GC58" s="139" t="str">
        <f t="shared" si="19"/>
        <v/>
      </c>
      <c r="GD58" s="118">
        <f t="shared" si="20"/>
        <v>0</v>
      </c>
      <c r="GE58" s="118">
        <f t="shared" si="21"/>
        <v>0</v>
      </c>
      <c r="GF58" s="118">
        <f t="shared" si="22"/>
        <v>0</v>
      </c>
      <c r="GG58" s="118">
        <f t="shared" si="23"/>
        <v>0</v>
      </c>
      <c r="GH58" s="118">
        <f t="shared" si="24"/>
        <v>0</v>
      </c>
      <c r="GI58" s="118">
        <f t="shared" si="25"/>
        <v>0</v>
      </c>
      <c r="GJ58" s="118">
        <f t="shared" si="26"/>
        <v>0</v>
      </c>
      <c r="GK58" s="118">
        <f t="shared" si="27"/>
        <v>0</v>
      </c>
      <c r="GL58" s="118">
        <f t="shared" si="28"/>
        <v>0</v>
      </c>
      <c r="GM58" s="118">
        <f t="shared" si="29"/>
        <v>0</v>
      </c>
      <c r="GN58" s="118">
        <f t="shared" si="30"/>
        <v>0</v>
      </c>
      <c r="GO58" s="118">
        <f t="shared" si="31"/>
        <v>0</v>
      </c>
      <c r="GP58" s="118">
        <f t="shared" si="32"/>
        <v>0</v>
      </c>
      <c r="GQ58" s="118">
        <f t="shared" si="33"/>
        <v>0</v>
      </c>
      <c r="GR58" s="118">
        <f t="shared" si="34"/>
        <v>0</v>
      </c>
      <c r="GS58" s="121">
        <f t="shared" si="35"/>
        <v>0</v>
      </c>
      <c r="GT58"/>
      <c r="GU58"/>
      <c r="GV58"/>
      <c r="GW58" s="124"/>
      <c r="GX58" s="118"/>
      <c r="GY58" s="118"/>
      <c r="GZ58" s="118"/>
      <c r="HA58" s="118"/>
      <c r="HB58" s="118"/>
      <c r="HC58" s="118"/>
      <c r="HD58" s="118"/>
      <c r="HE58" s="118"/>
      <c r="HF58" s="118"/>
      <c r="HG58" s="118"/>
      <c r="HH58" s="118"/>
      <c r="HI58" s="118"/>
      <c r="HJ58" s="118"/>
      <c r="HK58" s="118"/>
      <c r="HL58" s="118"/>
    </row>
    <row r="59" spans="1:220" s="74" customFormat="1" ht="30" hidden="1" customHeight="1" x14ac:dyDescent="0.35">
      <c r="A59" s="119">
        <v>50</v>
      </c>
      <c r="B59" s="4"/>
      <c r="C59" s="7"/>
      <c r="D59" s="4"/>
      <c r="E59" s="246"/>
      <c r="F59" s="10"/>
      <c r="G59" s="10"/>
      <c r="H59" s="10"/>
      <c r="I59" s="10"/>
      <c r="J59" s="10"/>
      <c r="K59" s="10"/>
      <c r="L59" s="10"/>
      <c r="M59" s="10"/>
      <c r="N59" s="10"/>
      <c r="O59" s="11"/>
      <c r="P59" s="238"/>
      <c r="Q59" s="14"/>
      <c r="R59" s="10"/>
      <c r="S59" s="10"/>
      <c r="T59" s="10"/>
      <c r="U59" s="10"/>
      <c r="V59" s="10"/>
      <c r="W59" s="10"/>
      <c r="X59" s="10"/>
      <c r="Y59" s="10"/>
      <c r="Z59" s="15"/>
      <c r="AA59" s="238"/>
      <c r="AB59" s="14"/>
      <c r="AC59" s="10"/>
      <c r="AD59" s="10"/>
      <c r="AE59" s="10"/>
      <c r="AF59" s="10"/>
      <c r="AG59" s="10"/>
      <c r="AH59" s="10"/>
      <c r="AI59" s="10"/>
      <c r="AJ59" s="10"/>
      <c r="AK59" s="15"/>
      <c r="AL59" s="238"/>
      <c r="AM59" s="14"/>
      <c r="AN59" s="10"/>
      <c r="AO59" s="10"/>
      <c r="AP59" s="10"/>
      <c r="AQ59" s="10"/>
      <c r="AR59" s="10"/>
      <c r="AS59" s="10"/>
      <c r="AT59" s="10"/>
      <c r="AU59" s="10"/>
      <c r="AV59" s="15"/>
      <c r="AW59" s="238"/>
      <c r="AX59" s="14"/>
      <c r="AY59" s="10"/>
      <c r="AZ59" s="10"/>
      <c r="BA59" s="10"/>
      <c r="BB59" s="10"/>
      <c r="BC59" s="10"/>
      <c r="BD59" s="10"/>
      <c r="BE59" s="10"/>
      <c r="BF59" s="10"/>
      <c r="BG59" s="15"/>
      <c r="BH59" s="238"/>
      <c r="BI59" s="14"/>
      <c r="BJ59" s="10"/>
      <c r="BK59" s="10"/>
      <c r="BL59" s="10"/>
      <c r="BM59" s="10"/>
      <c r="BN59" s="10"/>
      <c r="BO59" s="10"/>
      <c r="BP59" s="10"/>
      <c r="BQ59" s="10"/>
      <c r="BR59" s="15"/>
      <c r="BS59" s="238"/>
      <c r="BT59" s="14"/>
      <c r="BU59" s="10"/>
      <c r="BV59" s="10"/>
      <c r="BW59" s="10"/>
      <c r="BX59" s="10"/>
      <c r="BY59" s="10"/>
      <c r="BZ59" s="10"/>
      <c r="CA59" s="10"/>
      <c r="CB59" s="14"/>
      <c r="CC59" s="10"/>
      <c r="CD59" s="10"/>
      <c r="CE59" s="10"/>
      <c r="CF59" s="10"/>
      <c r="CG59" s="10"/>
      <c r="CH59" s="10"/>
      <c r="CI59" s="238"/>
      <c r="CJ59" s="14"/>
      <c r="CK59" s="10"/>
      <c r="CL59" s="10"/>
      <c r="CM59" s="10"/>
      <c r="CN59" s="10"/>
      <c r="CO59" s="10"/>
      <c r="CP59" s="10"/>
      <c r="CQ59" s="10"/>
      <c r="CR59" s="14"/>
      <c r="CS59" s="10"/>
      <c r="CT59" s="10"/>
      <c r="CU59" s="10"/>
      <c r="CV59" s="10"/>
      <c r="CW59" s="10"/>
      <c r="CX59" s="10"/>
      <c r="CY59" s="238"/>
      <c r="CZ59" s="14"/>
      <c r="DA59" s="10"/>
      <c r="DB59" s="10"/>
      <c r="DC59" s="10"/>
      <c r="DD59" s="10"/>
      <c r="DE59" s="10"/>
      <c r="DF59" s="10"/>
      <c r="DG59" s="10"/>
      <c r="DH59" s="14"/>
      <c r="DI59" s="10"/>
      <c r="DJ59" s="10"/>
      <c r="DK59" s="10"/>
      <c r="DL59" s="10"/>
      <c r="DM59" s="10"/>
      <c r="DN59" s="10"/>
      <c r="DO59" s="238"/>
      <c r="DP59" s="14"/>
      <c r="DQ59" s="10"/>
      <c r="DR59" s="10"/>
      <c r="DS59" s="10"/>
      <c r="DT59" s="10"/>
      <c r="DU59" s="10"/>
      <c r="DV59" s="10"/>
      <c r="DW59" s="10"/>
      <c r="DX59" s="14"/>
      <c r="DY59" s="10"/>
      <c r="DZ59" s="10"/>
      <c r="EA59" s="10"/>
      <c r="EB59" s="10"/>
      <c r="EC59" s="10"/>
      <c r="ED59" s="10"/>
      <c r="EE59" s="238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238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238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238"/>
      <c r="FP59" s="14"/>
      <c r="FQ59" s="14"/>
      <c r="FR59" s="14"/>
      <c r="FS59" s="14"/>
      <c r="FT59" s="14"/>
      <c r="FU59" s="238"/>
      <c r="FV59" s="14"/>
      <c r="FW59" s="14"/>
      <c r="FX59" s="14"/>
      <c r="FY59" s="14"/>
      <c r="FZ59" s="14"/>
      <c r="GA59" s="120"/>
      <c r="GB59" s="122" t="str">
        <f t="shared" si="18"/>
        <v/>
      </c>
      <c r="GC59" s="140" t="str">
        <f t="shared" si="19"/>
        <v/>
      </c>
      <c r="GD59" s="122">
        <f t="shared" si="20"/>
        <v>0</v>
      </c>
      <c r="GE59" s="122">
        <f t="shared" si="21"/>
        <v>0</v>
      </c>
      <c r="GF59" s="122">
        <f t="shared" si="22"/>
        <v>0</v>
      </c>
      <c r="GG59" s="122">
        <f t="shared" si="23"/>
        <v>0</v>
      </c>
      <c r="GH59" s="122">
        <f t="shared" si="24"/>
        <v>0</v>
      </c>
      <c r="GI59" s="122">
        <f t="shared" si="25"/>
        <v>0</v>
      </c>
      <c r="GJ59" s="122">
        <f t="shared" si="26"/>
        <v>0</v>
      </c>
      <c r="GK59" s="122">
        <f t="shared" si="27"/>
        <v>0</v>
      </c>
      <c r="GL59" s="122">
        <f t="shared" si="28"/>
        <v>0</v>
      </c>
      <c r="GM59" s="122">
        <f t="shared" si="29"/>
        <v>0</v>
      </c>
      <c r="GN59" s="122">
        <f t="shared" si="30"/>
        <v>0</v>
      </c>
      <c r="GO59" s="122">
        <f t="shared" si="31"/>
        <v>0</v>
      </c>
      <c r="GP59" s="122">
        <f t="shared" si="32"/>
        <v>0</v>
      </c>
      <c r="GQ59" s="122">
        <f t="shared" si="33"/>
        <v>0</v>
      </c>
      <c r="GR59" s="122">
        <f t="shared" si="34"/>
        <v>0</v>
      </c>
      <c r="GS59" s="123">
        <f t="shared" si="35"/>
        <v>0</v>
      </c>
      <c r="GT59"/>
      <c r="GU59"/>
      <c r="GV59"/>
      <c r="GW59" s="124"/>
      <c r="GX59" s="118"/>
      <c r="GY59" s="118"/>
      <c r="GZ59" s="118"/>
      <c r="HA59" s="118"/>
      <c r="HB59" s="118"/>
      <c r="HC59" s="118"/>
      <c r="HD59" s="118"/>
      <c r="HE59" s="118"/>
      <c r="HF59" s="118"/>
      <c r="HG59" s="118"/>
      <c r="HH59" s="118"/>
      <c r="HI59" s="118"/>
      <c r="HJ59" s="118"/>
      <c r="HK59" s="118"/>
      <c r="HL59" s="118"/>
    </row>
    <row r="60" spans="1:220" s="74" customFormat="1" ht="30" hidden="1" customHeight="1" x14ac:dyDescent="0.35">
      <c r="A60" s="119">
        <v>51</v>
      </c>
      <c r="B60" s="3"/>
      <c r="C60" s="6"/>
      <c r="D60" s="3"/>
      <c r="E60" s="246"/>
      <c r="F60" s="8"/>
      <c r="G60" s="8"/>
      <c r="H60" s="8"/>
      <c r="I60" s="8"/>
      <c r="J60" s="8"/>
      <c r="K60" s="8"/>
      <c r="L60" s="8"/>
      <c r="M60" s="8"/>
      <c r="N60" s="8"/>
      <c r="O60" s="9"/>
      <c r="P60" s="238"/>
      <c r="Q60" s="12"/>
      <c r="R60" s="8"/>
      <c r="S60" s="8"/>
      <c r="T60" s="8"/>
      <c r="U60" s="8"/>
      <c r="V60" s="8"/>
      <c r="W60" s="8"/>
      <c r="X60" s="8"/>
      <c r="Y60" s="8"/>
      <c r="Z60" s="13"/>
      <c r="AA60" s="238"/>
      <c r="AB60" s="12"/>
      <c r="AC60" s="8"/>
      <c r="AD60" s="8"/>
      <c r="AE60" s="8"/>
      <c r="AF60" s="8"/>
      <c r="AG60" s="8"/>
      <c r="AH60" s="8"/>
      <c r="AI60" s="8"/>
      <c r="AJ60" s="8"/>
      <c r="AK60" s="13"/>
      <c r="AL60" s="238"/>
      <c r="AM60" s="12"/>
      <c r="AN60" s="8"/>
      <c r="AO60" s="8"/>
      <c r="AP60" s="8"/>
      <c r="AQ60" s="8"/>
      <c r="AR60" s="8"/>
      <c r="AS60" s="8"/>
      <c r="AT60" s="8"/>
      <c r="AU60" s="8"/>
      <c r="AV60" s="13"/>
      <c r="AW60" s="238"/>
      <c r="AX60" s="12"/>
      <c r="AY60" s="8"/>
      <c r="AZ60" s="8"/>
      <c r="BA60" s="8"/>
      <c r="BB60" s="8"/>
      <c r="BC60" s="8"/>
      <c r="BD60" s="8"/>
      <c r="BE60" s="8"/>
      <c r="BF60" s="8"/>
      <c r="BG60" s="13"/>
      <c r="BH60" s="238"/>
      <c r="BI60" s="12"/>
      <c r="BJ60" s="8"/>
      <c r="BK60" s="8"/>
      <c r="BL60" s="8"/>
      <c r="BM60" s="8"/>
      <c r="BN60" s="8"/>
      <c r="BO60" s="8"/>
      <c r="BP60" s="8"/>
      <c r="BQ60" s="8"/>
      <c r="BR60" s="13"/>
      <c r="BS60" s="238"/>
      <c r="BT60" s="12"/>
      <c r="BU60" s="8"/>
      <c r="BV60" s="8"/>
      <c r="BW60" s="8"/>
      <c r="BX60" s="8"/>
      <c r="BY60" s="8"/>
      <c r="BZ60" s="8"/>
      <c r="CA60" s="8"/>
      <c r="CB60" s="12"/>
      <c r="CC60" s="8"/>
      <c r="CD60" s="8"/>
      <c r="CE60" s="8"/>
      <c r="CF60" s="8"/>
      <c r="CG60" s="8"/>
      <c r="CH60" s="8"/>
      <c r="CI60" s="238"/>
      <c r="CJ60" s="12"/>
      <c r="CK60" s="8"/>
      <c r="CL60" s="8"/>
      <c r="CM60" s="8"/>
      <c r="CN60" s="8"/>
      <c r="CO60" s="8"/>
      <c r="CP60" s="8"/>
      <c r="CQ60" s="8"/>
      <c r="CR60" s="12"/>
      <c r="CS60" s="8"/>
      <c r="CT60" s="8"/>
      <c r="CU60" s="8"/>
      <c r="CV60" s="8"/>
      <c r="CW60" s="8"/>
      <c r="CX60" s="8"/>
      <c r="CY60" s="238"/>
      <c r="CZ60" s="12"/>
      <c r="DA60" s="8"/>
      <c r="DB60" s="8"/>
      <c r="DC60" s="8"/>
      <c r="DD60" s="8"/>
      <c r="DE60" s="8"/>
      <c r="DF60" s="8"/>
      <c r="DG60" s="8"/>
      <c r="DH60" s="12"/>
      <c r="DI60" s="8"/>
      <c r="DJ60" s="8"/>
      <c r="DK60" s="8"/>
      <c r="DL60" s="8"/>
      <c r="DM60" s="8"/>
      <c r="DN60" s="8"/>
      <c r="DO60" s="238"/>
      <c r="DP60" s="12"/>
      <c r="DQ60" s="8"/>
      <c r="DR60" s="8"/>
      <c r="DS60" s="8"/>
      <c r="DT60" s="8"/>
      <c r="DU60" s="8"/>
      <c r="DV60" s="8"/>
      <c r="DW60" s="8"/>
      <c r="DX60" s="12"/>
      <c r="DY60" s="8"/>
      <c r="DZ60" s="8"/>
      <c r="EA60" s="8"/>
      <c r="EB60" s="8"/>
      <c r="EC60" s="8"/>
      <c r="ED60" s="8"/>
      <c r="EE60" s="238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238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238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238"/>
      <c r="FP60" s="12"/>
      <c r="FQ60" s="12"/>
      <c r="FR60" s="12"/>
      <c r="FS60" s="12"/>
      <c r="FT60" s="12"/>
      <c r="FU60" s="238"/>
      <c r="FV60" s="12"/>
      <c r="FW60" s="12"/>
      <c r="FX60" s="12"/>
      <c r="FY60" s="12"/>
      <c r="FZ60" s="12"/>
      <c r="GA60" s="120"/>
      <c r="GB60" s="118" t="str">
        <f t="shared" si="18"/>
        <v/>
      </c>
      <c r="GC60" s="139" t="str">
        <f t="shared" si="19"/>
        <v/>
      </c>
      <c r="GD60" s="118">
        <f t="shared" si="20"/>
        <v>0</v>
      </c>
      <c r="GE60" s="118">
        <f t="shared" si="21"/>
        <v>0</v>
      </c>
      <c r="GF60" s="118">
        <f t="shared" si="22"/>
        <v>0</v>
      </c>
      <c r="GG60" s="118">
        <f t="shared" si="23"/>
        <v>0</v>
      </c>
      <c r="GH60" s="118">
        <f t="shared" si="24"/>
        <v>0</v>
      </c>
      <c r="GI60" s="118">
        <f t="shared" si="25"/>
        <v>0</v>
      </c>
      <c r="GJ60" s="118">
        <f t="shared" si="26"/>
        <v>0</v>
      </c>
      <c r="GK60" s="118">
        <f t="shared" si="27"/>
        <v>0</v>
      </c>
      <c r="GL60" s="118">
        <f t="shared" si="28"/>
        <v>0</v>
      </c>
      <c r="GM60" s="118">
        <f t="shared" si="29"/>
        <v>0</v>
      </c>
      <c r="GN60" s="118">
        <f t="shared" si="30"/>
        <v>0</v>
      </c>
      <c r="GO60" s="118">
        <f t="shared" si="31"/>
        <v>0</v>
      </c>
      <c r="GP60" s="118">
        <f t="shared" si="32"/>
        <v>0</v>
      </c>
      <c r="GQ60" s="118">
        <f t="shared" si="33"/>
        <v>0</v>
      </c>
      <c r="GR60" s="118">
        <f t="shared" si="34"/>
        <v>0</v>
      </c>
      <c r="GS60" s="121">
        <f t="shared" si="35"/>
        <v>0</v>
      </c>
      <c r="GT60"/>
      <c r="GU60"/>
      <c r="GV60"/>
      <c r="GW60" s="124"/>
      <c r="GX60" s="118"/>
      <c r="GY60" s="118"/>
      <c r="GZ60" s="118"/>
      <c r="HA60" s="118"/>
      <c r="HB60" s="118"/>
      <c r="HC60" s="118"/>
      <c r="HD60" s="118"/>
      <c r="HE60" s="118"/>
      <c r="HF60" s="118"/>
      <c r="HG60" s="118"/>
      <c r="HH60" s="118"/>
      <c r="HI60" s="118"/>
      <c r="HJ60" s="118"/>
      <c r="HK60" s="118"/>
      <c r="HL60" s="118"/>
    </row>
    <row r="61" spans="1:220" s="74" customFormat="1" ht="30" hidden="1" customHeight="1" x14ac:dyDescent="0.35">
      <c r="A61" s="119">
        <v>52</v>
      </c>
      <c r="B61" s="4"/>
      <c r="C61" s="7"/>
      <c r="D61" s="4"/>
      <c r="E61" s="246"/>
      <c r="F61" s="10"/>
      <c r="G61" s="10"/>
      <c r="H61" s="10"/>
      <c r="I61" s="10"/>
      <c r="J61" s="10"/>
      <c r="K61" s="10"/>
      <c r="L61" s="10"/>
      <c r="M61" s="10"/>
      <c r="N61" s="10"/>
      <c r="O61" s="11"/>
      <c r="P61" s="238"/>
      <c r="Q61" s="14"/>
      <c r="R61" s="10"/>
      <c r="S61" s="10"/>
      <c r="T61" s="10"/>
      <c r="U61" s="10"/>
      <c r="V61" s="10"/>
      <c r="W61" s="10"/>
      <c r="X61" s="10"/>
      <c r="Y61" s="10"/>
      <c r="Z61" s="15"/>
      <c r="AA61" s="238"/>
      <c r="AB61" s="14"/>
      <c r="AC61" s="10"/>
      <c r="AD61" s="10"/>
      <c r="AE61" s="10"/>
      <c r="AF61" s="10"/>
      <c r="AG61" s="10"/>
      <c r="AH61" s="10"/>
      <c r="AI61" s="10"/>
      <c r="AJ61" s="10"/>
      <c r="AK61" s="15"/>
      <c r="AL61" s="238"/>
      <c r="AM61" s="14"/>
      <c r="AN61" s="10"/>
      <c r="AO61" s="10"/>
      <c r="AP61" s="10"/>
      <c r="AQ61" s="10"/>
      <c r="AR61" s="10"/>
      <c r="AS61" s="10"/>
      <c r="AT61" s="10"/>
      <c r="AU61" s="10"/>
      <c r="AV61" s="15"/>
      <c r="AW61" s="238"/>
      <c r="AX61" s="14"/>
      <c r="AY61" s="10"/>
      <c r="AZ61" s="10"/>
      <c r="BA61" s="10"/>
      <c r="BB61" s="10"/>
      <c r="BC61" s="10"/>
      <c r="BD61" s="10"/>
      <c r="BE61" s="10"/>
      <c r="BF61" s="10"/>
      <c r="BG61" s="15"/>
      <c r="BH61" s="238"/>
      <c r="BI61" s="14"/>
      <c r="BJ61" s="10"/>
      <c r="BK61" s="10"/>
      <c r="BL61" s="10"/>
      <c r="BM61" s="10"/>
      <c r="BN61" s="10"/>
      <c r="BO61" s="10"/>
      <c r="BP61" s="10"/>
      <c r="BQ61" s="10"/>
      <c r="BR61" s="15"/>
      <c r="BS61" s="238"/>
      <c r="BT61" s="14"/>
      <c r="BU61" s="10"/>
      <c r="BV61" s="10"/>
      <c r="BW61" s="10"/>
      <c r="BX61" s="10"/>
      <c r="BY61" s="10"/>
      <c r="BZ61" s="10"/>
      <c r="CA61" s="10"/>
      <c r="CB61" s="14"/>
      <c r="CC61" s="10"/>
      <c r="CD61" s="10"/>
      <c r="CE61" s="10"/>
      <c r="CF61" s="10"/>
      <c r="CG61" s="10"/>
      <c r="CH61" s="10"/>
      <c r="CI61" s="238"/>
      <c r="CJ61" s="14"/>
      <c r="CK61" s="10"/>
      <c r="CL61" s="10"/>
      <c r="CM61" s="10"/>
      <c r="CN61" s="10"/>
      <c r="CO61" s="10"/>
      <c r="CP61" s="10"/>
      <c r="CQ61" s="10"/>
      <c r="CR61" s="14"/>
      <c r="CS61" s="10"/>
      <c r="CT61" s="10"/>
      <c r="CU61" s="10"/>
      <c r="CV61" s="10"/>
      <c r="CW61" s="10"/>
      <c r="CX61" s="10"/>
      <c r="CY61" s="238"/>
      <c r="CZ61" s="14"/>
      <c r="DA61" s="10"/>
      <c r="DB61" s="10"/>
      <c r="DC61" s="10"/>
      <c r="DD61" s="10"/>
      <c r="DE61" s="10"/>
      <c r="DF61" s="10"/>
      <c r="DG61" s="10"/>
      <c r="DH61" s="14"/>
      <c r="DI61" s="10"/>
      <c r="DJ61" s="10"/>
      <c r="DK61" s="10"/>
      <c r="DL61" s="10"/>
      <c r="DM61" s="10"/>
      <c r="DN61" s="10"/>
      <c r="DO61" s="238"/>
      <c r="DP61" s="14"/>
      <c r="DQ61" s="10"/>
      <c r="DR61" s="10"/>
      <c r="DS61" s="10"/>
      <c r="DT61" s="10"/>
      <c r="DU61" s="10"/>
      <c r="DV61" s="10"/>
      <c r="DW61" s="10"/>
      <c r="DX61" s="14"/>
      <c r="DY61" s="10"/>
      <c r="DZ61" s="10"/>
      <c r="EA61" s="10"/>
      <c r="EB61" s="10"/>
      <c r="EC61" s="10"/>
      <c r="ED61" s="10"/>
      <c r="EE61" s="238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238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238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238"/>
      <c r="FP61" s="14"/>
      <c r="FQ61" s="14"/>
      <c r="FR61" s="14"/>
      <c r="FS61" s="14"/>
      <c r="FT61" s="14"/>
      <c r="FU61" s="238"/>
      <c r="FV61" s="14"/>
      <c r="FW61" s="14"/>
      <c r="FX61" s="14"/>
      <c r="FY61" s="14"/>
      <c r="FZ61" s="14"/>
      <c r="GA61" s="120"/>
      <c r="GB61" s="122" t="str">
        <f t="shared" si="18"/>
        <v/>
      </c>
      <c r="GC61" s="140" t="str">
        <f t="shared" si="19"/>
        <v/>
      </c>
      <c r="GD61" s="122">
        <f t="shared" si="20"/>
        <v>0</v>
      </c>
      <c r="GE61" s="122">
        <f t="shared" si="21"/>
        <v>0</v>
      </c>
      <c r="GF61" s="122">
        <f t="shared" si="22"/>
        <v>0</v>
      </c>
      <c r="GG61" s="122">
        <f t="shared" si="23"/>
        <v>0</v>
      </c>
      <c r="GH61" s="122">
        <f t="shared" si="24"/>
        <v>0</v>
      </c>
      <c r="GI61" s="122">
        <f t="shared" si="25"/>
        <v>0</v>
      </c>
      <c r="GJ61" s="122">
        <f t="shared" si="26"/>
        <v>0</v>
      </c>
      <c r="GK61" s="122">
        <f t="shared" si="27"/>
        <v>0</v>
      </c>
      <c r="GL61" s="122">
        <f t="shared" si="28"/>
        <v>0</v>
      </c>
      <c r="GM61" s="122">
        <f t="shared" si="29"/>
        <v>0</v>
      </c>
      <c r="GN61" s="122">
        <f t="shared" si="30"/>
        <v>0</v>
      </c>
      <c r="GO61" s="122">
        <f t="shared" si="31"/>
        <v>0</v>
      </c>
      <c r="GP61" s="122">
        <f t="shared" si="32"/>
        <v>0</v>
      </c>
      <c r="GQ61" s="122">
        <f t="shared" si="33"/>
        <v>0</v>
      </c>
      <c r="GR61" s="122">
        <f t="shared" si="34"/>
        <v>0</v>
      </c>
      <c r="GS61" s="123">
        <f t="shared" si="35"/>
        <v>0</v>
      </c>
      <c r="GT61"/>
      <c r="GU61"/>
      <c r="GV61"/>
      <c r="GW61" s="124"/>
      <c r="GX61" s="118"/>
      <c r="GY61" s="118"/>
      <c r="GZ61" s="118"/>
      <c r="HA61" s="118"/>
      <c r="HB61" s="118"/>
      <c r="HC61" s="118"/>
      <c r="HD61" s="118"/>
      <c r="HE61" s="118"/>
      <c r="HF61" s="118"/>
      <c r="HG61" s="118"/>
      <c r="HH61" s="118"/>
      <c r="HI61" s="118"/>
      <c r="HJ61" s="118"/>
      <c r="HK61" s="118"/>
      <c r="HL61" s="118"/>
    </row>
    <row r="62" spans="1:220" s="74" customFormat="1" ht="30" hidden="1" customHeight="1" x14ac:dyDescent="0.35">
      <c r="A62" s="119">
        <v>53</v>
      </c>
      <c r="B62" s="3"/>
      <c r="C62" s="6"/>
      <c r="D62" s="3"/>
      <c r="E62" s="246"/>
      <c r="F62" s="8"/>
      <c r="G62" s="8"/>
      <c r="H62" s="8"/>
      <c r="I62" s="8"/>
      <c r="J62" s="8"/>
      <c r="K62" s="8"/>
      <c r="L62" s="8"/>
      <c r="M62" s="8"/>
      <c r="N62" s="8"/>
      <c r="O62" s="9"/>
      <c r="P62" s="238"/>
      <c r="Q62" s="12"/>
      <c r="R62" s="8"/>
      <c r="S62" s="8"/>
      <c r="T62" s="8"/>
      <c r="U62" s="8"/>
      <c r="V62" s="8"/>
      <c r="W62" s="8"/>
      <c r="X62" s="8"/>
      <c r="Y62" s="8"/>
      <c r="Z62" s="13"/>
      <c r="AA62" s="238"/>
      <c r="AB62" s="12"/>
      <c r="AC62" s="8"/>
      <c r="AD62" s="8"/>
      <c r="AE62" s="8"/>
      <c r="AF62" s="8"/>
      <c r="AG62" s="8"/>
      <c r="AH62" s="8"/>
      <c r="AI62" s="8"/>
      <c r="AJ62" s="8"/>
      <c r="AK62" s="13"/>
      <c r="AL62" s="238"/>
      <c r="AM62" s="12"/>
      <c r="AN62" s="8"/>
      <c r="AO62" s="8"/>
      <c r="AP62" s="8"/>
      <c r="AQ62" s="8"/>
      <c r="AR62" s="8"/>
      <c r="AS62" s="8"/>
      <c r="AT62" s="8"/>
      <c r="AU62" s="8"/>
      <c r="AV62" s="13"/>
      <c r="AW62" s="238"/>
      <c r="AX62" s="12"/>
      <c r="AY62" s="8"/>
      <c r="AZ62" s="8"/>
      <c r="BA62" s="8"/>
      <c r="BB62" s="8"/>
      <c r="BC62" s="8"/>
      <c r="BD62" s="8"/>
      <c r="BE62" s="8"/>
      <c r="BF62" s="8"/>
      <c r="BG62" s="13"/>
      <c r="BH62" s="238"/>
      <c r="BI62" s="12"/>
      <c r="BJ62" s="8"/>
      <c r="BK62" s="8"/>
      <c r="BL62" s="8"/>
      <c r="BM62" s="8"/>
      <c r="BN62" s="8"/>
      <c r="BO62" s="8"/>
      <c r="BP62" s="8"/>
      <c r="BQ62" s="8"/>
      <c r="BR62" s="13"/>
      <c r="BS62" s="238"/>
      <c r="BT62" s="12"/>
      <c r="BU62" s="8"/>
      <c r="BV62" s="8"/>
      <c r="BW62" s="8"/>
      <c r="BX62" s="8"/>
      <c r="BY62" s="8"/>
      <c r="BZ62" s="8"/>
      <c r="CA62" s="8"/>
      <c r="CB62" s="12"/>
      <c r="CC62" s="8"/>
      <c r="CD62" s="8"/>
      <c r="CE62" s="8"/>
      <c r="CF62" s="8"/>
      <c r="CG62" s="8"/>
      <c r="CH62" s="8"/>
      <c r="CI62" s="238"/>
      <c r="CJ62" s="12"/>
      <c r="CK62" s="8"/>
      <c r="CL62" s="8"/>
      <c r="CM62" s="8"/>
      <c r="CN62" s="8"/>
      <c r="CO62" s="8"/>
      <c r="CP62" s="8"/>
      <c r="CQ62" s="8"/>
      <c r="CR62" s="12"/>
      <c r="CS62" s="8"/>
      <c r="CT62" s="8"/>
      <c r="CU62" s="8"/>
      <c r="CV62" s="8"/>
      <c r="CW62" s="8"/>
      <c r="CX62" s="8"/>
      <c r="CY62" s="238"/>
      <c r="CZ62" s="12"/>
      <c r="DA62" s="8"/>
      <c r="DB62" s="8"/>
      <c r="DC62" s="8"/>
      <c r="DD62" s="8"/>
      <c r="DE62" s="8"/>
      <c r="DF62" s="8"/>
      <c r="DG62" s="8"/>
      <c r="DH62" s="12"/>
      <c r="DI62" s="8"/>
      <c r="DJ62" s="8"/>
      <c r="DK62" s="8"/>
      <c r="DL62" s="8"/>
      <c r="DM62" s="8"/>
      <c r="DN62" s="8"/>
      <c r="DO62" s="238"/>
      <c r="DP62" s="12"/>
      <c r="DQ62" s="8"/>
      <c r="DR62" s="8"/>
      <c r="DS62" s="8"/>
      <c r="DT62" s="8"/>
      <c r="DU62" s="8"/>
      <c r="DV62" s="8"/>
      <c r="DW62" s="8"/>
      <c r="DX62" s="12"/>
      <c r="DY62" s="8"/>
      <c r="DZ62" s="8"/>
      <c r="EA62" s="8"/>
      <c r="EB62" s="8"/>
      <c r="EC62" s="8"/>
      <c r="ED62" s="8"/>
      <c r="EE62" s="238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238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238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238"/>
      <c r="FP62" s="12"/>
      <c r="FQ62" s="12"/>
      <c r="FR62" s="12"/>
      <c r="FS62" s="12"/>
      <c r="FT62" s="12"/>
      <c r="FU62" s="238"/>
      <c r="FV62" s="12"/>
      <c r="FW62" s="12"/>
      <c r="FX62" s="12"/>
      <c r="FY62" s="12"/>
      <c r="FZ62" s="12"/>
      <c r="GA62" s="120"/>
      <c r="GB62" s="118" t="str">
        <f t="shared" si="18"/>
        <v/>
      </c>
      <c r="GC62" s="139" t="str">
        <f t="shared" si="19"/>
        <v/>
      </c>
      <c r="GD62" s="118">
        <f t="shared" si="20"/>
        <v>0</v>
      </c>
      <c r="GE62" s="118">
        <f t="shared" si="21"/>
        <v>0</v>
      </c>
      <c r="GF62" s="118">
        <f t="shared" si="22"/>
        <v>0</v>
      </c>
      <c r="GG62" s="118">
        <f t="shared" si="23"/>
        <v>0</v>
      </c>
      <c r="GH62" s="118">
        <f t="shared" si="24"/>
        <v>0</v>
      </c>
      <c r="GI62" s="118">
        <f t="shared" si="25"/>
        <v>0</v>
      </c>
      <c r="GJ62" s="118">
        <f t="shared" si="26"/>
        <v>0</v>
      </c>
      <c r="GK62" s="118">
        <f t="shared" si="27"/>
        <v>0</v>
      </c>
      <c r="GL62" s="118">
        <f t="shared" si="28"/>
        <v>0</v>
      </c>
      <c r="GM62" s="118">
        <f t="shared" si="29"/>
        <v>0</v>
      </c>
      <c r="GN62" s="118">
        <f t="shared" si="30"/>
        <v>0</v>
      </c>
      <c r="GO62" s="118">
        <f t="shared" si="31"/>
        <v>0</v>
      </c>
      <c r="GP62" s="118">
        <f t="shared" si="32"/>
        <v>0</v>
      </c>
      <c r="GQ62" s="118">
        <f t="shared" si="33"/>
        <v>0</v>
      </c>
      <c r="GR62" s="118">
        <f t="shared" si="34"/>
        <v>0</v>
      </c>
      <c r="GS62" s="121">
        <f t="shared" si="35"/>
        <v>0</v>
      </c>
      <c r="GT62"/>
      <c r="GU62"/>
      <c r="GV62"/>
      <c r="GW62" s="124"/>
      <c r="GX62" s="118"/>
      <c r="GY62" s="118"/>
      <c r="GZ62" s="118"/>
      <c r="HA62" s="118"/>
      <c r="HB62" s="118"/>
      <c r="HC62" s="118"/>
      <c r="HD62" s="118"/>
      <c r="HE62" s="118"/>
      <c r="HF62" s="118"/>
      <c r="HG62" s="118"/>
      <c r="HH62" s="118"/>
      <c r="HI62" s="118"/>
      <c r="HJ62" s="118"/>
      <c r="HK62" s="118"/>
      <c r="HL62" s="118"/>
    </row>
    <row r="63" spans="1:220" s="74" customFormat="1" ht="30" hidden="1" customHeight="1" x14ac:dyDescent="0.35">
      <c r="A63" s="119">
        <v>54</v>
      </c>
      <c r="B63" s="4"/>
      <c r="C63" s="7"/>
      <c r="D63" s="4"/>
      <c r="E63" s="246"/>
      <c r="F63" s="10"/>
      <c r="G63" s="10"/>
      <c r="H63" s="10"/>
      <c r="I63" s="10"/>
      <c r="J63" s="10"/>
      <c r="K63" s="10"/>
      <c r="L63" s="10"/>
      <c r="M63" s="10"/>
      <c r="N63" s="10"/>
      <c r="O63" s="11"/>
      <c r="P63" s="238"/>
      <c r="Q63" s="14"/>
      <c r="R63" s="10"/>
      <c r="S63" s="10"/>
      <c r="T63" s="10"/>
      <c r="U63" s="10"/>
      <c r="V63" s="10"/>
      <c r="W63" s="10"/>
      <c r="X63" s="10"/>
      <c r="Y63" s="10"/>
      <c r="Z63" s="15"/>
      <c r="AA63" s="238"/>
      <c r="AB63" s="14"/>
      <c r="AC63" s="10"/>
      <c r="AD63" s="10"/>
      <c r="AE63" s="10"/>
      <c r="AF63" s="10"/>
      <c r="AG63" s="10"/>
      <c r="AH63" s="10"/>
      <c r="AI63" s="10"/>
      <c r="AJ63" s="10"/>
      <c r="AK63" s="15"/>
      <c r="AL63" s="238"/>
      <c r="AM63" s="14"/>
      <c r="AN63" s="10"/>
      <c r="AO63" s="10"/>
      <c r="AP63" s="10"/>
      <c r="AQ63" s="10"/>
      <c r="AR63" s="10"/>
      <c r="AS63" s="10"/>
      <c r="AT63" s="10"/>
      <c r="AU63" s="10"/>
      <c r="AV63" s="15"/>
      <c r="AW63" s="238"/>
      <c r="AX63" s="14"/>
      <c r="AY63" s="10"/>
      <c r="AZ63" s="10"/>
      <c r="BA63" s="10"/>
      <c r="BB63" s="10"/>
      <c r="BC63" s="10"/>
      <c r="BD63" s="10"/>
      <c r="BE63" s="10"/>
      <c r="BF63" s="10"/>
      <c r="BG63" s="15"/>
      <c r="BH63" s="238"/>
      <c r="BI63" s="14"/>
      <c r="BJ63" s="10"/>
      <c r="BK63" s="10"/>
      <c r="BL63" s="10"/>
      <c r="BM63" s="10"/>
      <c r="BN63" s="10"/>
      <c r="BO63" s="10"/>
      <c r="BP63" s="10"/>
      <c r="BQ63" s="10"/>
      <c r="BR63" s="15"/>
      <c r="BS63" s="238"/>
      <c r="BT63" s="14"/>
      <c r="BU63" s="10"/>
      <c r="BV63" s="10"/>
      <c r="BW63" s="10"/>
      <c r="BX63" s="10"/>
      <c r="BY63" s="10"/>
      <c r="BZ63" s="10"/>
      <c r="CA63" s="10"/>
      <c r="CB63" s="14"/>
      <c r="CC63" s="10"/>
      <c r="CD63" s="10"/>
      <c r="CE63" s="10"/>
      <c r="CF63" s="10"/>
      <c r="CG63" s="10"/>
      <c r="CH63" s="10"/>
      <c r="CI63" s="238"/>
      <c r="CJ63" s="14"/>
      <c r="CK63" s="10"/>
      <c r="CL63" s="10"/>
      <c r="CM63" s="10"/>
      <c r="CN63" s="10"/>
      <c r="CO63" s="10"/>
      <c r="CP63" s="10"/>
      <c r="CQ63" s="10"/>
      <c r="CR63" s="14"/>
      <c r="CS63" s="10"/>
      <c r="CT63" s="10"/>
      <c r="CU63" s="10"/>
      <c r="CV63" s="10"/>
      <c r="CW63" s="10"/>
      <c r="CX63" s="10"/>
      <c r="CY63" s="238"/>
      <c r="CZ63" s="14"/>
      <c r="DA63" s="10"/>
      <c r="DB63" s="10"/>
      <c r="DC63" s="10"/>
      <c r="DD63" s="10"/>
      <c r="DE63" s="10"/>
      <c r="DF63" s="10"/>
      <c r="DG63" s="10"/>
      <c r="DH63" s="14"/>
      <c r="DI63" s="10"/>
      <c r="DJ63" s="10"/>
      <c r="DK63" s="10"/>
      <c r="DL63" s="10"/>
      <c r="DM63" s="10"/>
      <c r="DN63" s="10"/>
      <c r="DO63" s="238"/>
      <c r="DP63" s="14"/>
      <c r="DQ63" s="10"/>
      <c r="DR63" s="10"/>
      <c r="DS63" s="10"/>
      <c r="DT63" s="10"/>
      <c r="DU63" s="10"/>
      <c r="DV63" s="10"/>
      <c r="DW63" s="10"/>
      <c r="DX63" s="14"/>
      <c r="DY63" s="10"/>
      <c r="DZ63" s="10"/>
      <c r="EA63" s="10"/>
      <c r="EB63" s="10"/>
      <c r="EC63" s="10"/>
      <c r="ED63" s="10"/>
      <c r="EE63" s="238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238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238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238"/>
      <c r="FP63" s="14"/>
      <c r="FQ63" s="14"/>
      <c r="FR63" s="14"/>
      <c r="FS63" s="14"/>
      <c r="FT63" s="14"/>
      <c r="FU63" s="238"/>
      <c r="FV63" s="14"/>
      <c r="FW63" s="14"/>
      <c r="FX63" s="14"/>
      <c r="FY63" s="14"/>
      <c r="FZ63" s="14"/>
      <c r="GA63" s="120"/>
      <c r="GB63" s="122" t="str">
        <f t="shared" si="18"/>
        <v/>
      </c>
      <c r="GC63" s="140" t="str">
        <f t="shared" si="19"/>
        <v/>
      </c>
      <c r="GD63" s="122">
        <f t="shared" si="20"/>
        <v>0</v>
      </c>
      <c r="GE63" s="122">
        <f t="shared" si="21"/>
        <v>0</v>
      </c>
      <c r="GF63" s="122">
        <f t="shared" si="22"/>
        <v>0</v>
      </c>
      <c r="GG63" s="122">
        <f t="shared" si="23"/>
        <v>0</v>
      </c>
      <c r="GH63" s="122">
        <f t="shared" si="24"/>
        <v>0</v>
      </c>
      <c r="GI63" s="122">
        <f t="shared" si="25"/>
        <v>0</v>
      </c>
      <c r="GJ63" s="122">
        <f t="shared" si="26"/>
        <v>0</v>
      </c>
      <c r="GK63" s="122">
        <f t="shared" si="27"/>
        <v>0</v>
      </c>
      <c r="GL63" s="122">
        <f t="shared" si="28"/>
        <v>0</v>
      </c>
      <c r="GM63" s="122">
        <f t="shared" si="29"/>
        <v>0</v>
      </c>
      <c r="GN63" s="122">
        <f t="shared" si="30"/>
        <v>0</v>
      </c>
      <c r="GO63" s="122">
        <f t="shared" si="31"/>
        <v>0</v>
      </c>
      <c r="GP63" s="122">
        <f t="shared" si="32"/>
        <v>0</v>
      </c>
      <c r="GQ63" s="122">
        <f t="shared" si="33"/>
        <v>0</v>
      </c>
      <c r="GR63" s="122">
        <f t="shared" si="34"/>
        <v>0</v>
      </c>
      <c r="GS63" s="123">
        <f t="shared" si="35"/>
        <v>0</v>
      </c>
      <c r="GT63"/>
      <c r="GU63"/>
      <c r="GV63"/>
      <c r="GW63" s="124"/>
      <c r="GX63" s="118"/>
      <c r="GY63" s="118"/>
      <c r="GZ63" s="118"/>
      <c r="HA63" s="118"/>
      <c r="HB63" s="118"/>
      <c r="HC63" s="118"/>
      <c r="HD63" s="118"/>
      <c r="HE63" s="118"/>
      <c r="HF63" s="118"/>
      <c r="HG63" s="118"/>
      <c r="HH63" s="118"/>
      <c r="HI63" s="118"/>
      <c r="HJ63" s="118"/>
      <c r="HK63" s="118"/>
      <c r="HL63" s="118"/>
    </row>
    <row r="64" spans="1:220" s="74" customFormat="1" ht="30" hidden="1" customHeight="1" x14ac:dyDescent="0.35">
      <c r="A64" s="119">
        <v>55</v>
      </c>
      <c r="B64" s="3"/>
      <c r="C64" s="6"/>
      <c r="D64" s="3"/>
      <c r="E64" s="246"/>
      <c r="F64" s="8"/>
      <c r="G64" s="8"/>
      <c r="H64" s="8"/>
      <c r="I64" s="8"/>
      <c r="J64" s="8"/>
      <c r="K64" s="8"/>
      <c r="L64" s="8"/>
      <c r="M64" s="8"/>
      <c r="N64" s="8"/>
      <c r="O64" s="9"/>
      <c r="P64" s="238"/>
      <c r="Q64" s="12"/>
      <c r="R64" s="8"/>
      <c r="S64" s="8"/>
      <c r="T64" s="8"/>
      <c r="U64" s="8"/>
      <c r="V64" s="8"/>
      <c r="W64" s="8"/>
      <c r="X64" s="8"/>
      <c r="Y64" s="8"/>
      <c r="Z64" s="13"/>
      <c r="AA64" s="238"/>
      <c r="AB64" s="12"/>
      <c r="AC64" s="8"/>
      <c r="AD64" s="8"/>
      <c r="AE64" s="8"/>
      <c r="AF64" s="8"/>
      <c r="AG64" s="8"/>
      <c r="AH64" s="8"/>
      <c r="AI64" s="8"/>
      <c r="AJ64" s="8"/>
      <c r="AK64" s="13"/>
      <c r="AL64" s="238"/>
      <c r="AM64" s="12"/>
      <c r="AN64" s="8"/>
      <c r="AO64" s="8"/>
      <c r="AP64" s="8"/>
      <c r="AQ64" s="8"/>
      <c r="AR64" s="8"/>
      <c r="AS64" s="8"/>
      <c r="AT64" s="8"/>
      <c r="AU64" s="8"/>
      <c r="AV64" s="13"/>
      <c r="AW64" s="238"/>
      <c r="AX64" s="12"/>
      <c r="AY64" s="8"/>
      <c r="AZ64" s="8"/>
      <c r="BA64" s="8"/>
      <c r="BB64" s="8"/>
      <c r="BC64" s="8"/>
      <c r="BD64" s="8"/>
      <c r="BE64" s="8"/>
      <c r="BF64" s="8"/>
      <c r="BG64" s="13"/>
      <c r="BH64" s="238"/>
      <c r="BI64" s="12"/>
      <c r="BJ64" s="8"/>
      <c r="BK64" s="8"/>
      <c r="BL64" s="8"/>
      <c r="BM64" s="8"/>
      <c r="BN64" s="8"/>
      <c r="BO64" s="8"/>
      <c r="BP64" s="8"/>
      <c r="BQ64" s="8"/>
      <c r="BR64" s="13"/>
      <c r="BS64" s="238"/>
      <c r="BT64" s="12"/>
      <c r="BU64" s="8"/>
      <c r="BV64" s="8"/>
      <c r="BW64" s="8"/>
      <c r="BX64" s="8"/>
      <c r="BY64" s="8"/>
      <c r="BZ64" s="8"/>
      <c r="CA64" s="8"/>
      <c r="CB64" s="12"/>
      <c r="CC64" s="8"/>
      <c r="CD64" s="8"/>
      <c r="CE64" s="8"/>
      <c r="CF64" s="8"/>
      <c r="CG64" s="8"/>
      <c r="CH64" s="8"/>
      <c r="CI64" s="238"/>
      <c r="CJ64" s="12"/>
      <c r="CK64" s="8"/>
      <c r="CL64" s="8"/>
      <c r="CM64" s="8"/>
      <c r="CN64" s="8"/>
      <c r="CO64" s="8"/>
      <c r="CP64" s="8"/>
      <c r="CQ64" s="8"/>
      <c r="CR64" s="12"/>
      <c r="CS64" s="8"/>
      <c r="CT64" s="8"/>
      <c r="CU64" s="8"/>
      <c r="CV64" s="8"/>
      <c r="CW64" s="8"/>
      <c r="CX64" s="8"/>
      <c r="CY64" s="238"/>
      <c r="CZ64" s="12"/>
      <c r="DA64" s="8"/>
      <c r="DB64" s="8"/>
      <c r="DC64" s="8"/>
      <c r="DD64" s="8"/>
      <c r="DE64" s="8"/>
      <c r="DF64" s="8"/>
      <c r="DG64" s="8"/>
      <c r="DH64" s="12"/>
      <c r="DI64" s="8"/>
      <c r="DJ64" s="8"/>
      <c r="DK64" s="8"/>
      <c r="DL64" s="8"/>
      <c r="DM64" s="8"/>
      <c r="DN64" s="8"/>
      <c r="DO64" s="238"/>
      <c r="DP64" s="12"/>
      <c r="DQ64" s="8"/>
      <c r="DR64" s="8"/>
      <c r="DS64" s="8"/>
      <c r="DT64" s="8"/>
      <c r="DU64" s="8"/>
      <c r="DV64" s="8"/>
      <c r="DW64" s="8"/>
      <c r="DX64" s="12"/>
      <c r="DY64" s="8"/>
      <c r="DZ64" s="8"/>
      <c r="EA64" s="8"/>
      <c r="EB64" s="8"/>
      <c r="EC64" s="8"/>
      <c r="ED64" s="8"/>
      <c r="EE64" s="238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238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238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238"/>
      <c r="FP64" s="12"/>
      <c r="FQ64" s="12"/>
      <c r="FR64" s="12"/>
      <c r="FS64" s="12"/>
      <c r="FT64" s="12"/>
      <c r="FU64" s="238"/>
      <c r="FV64" s="12"/>
      <c r="FW64" s="12"/>
      <c r="FX64" s="12"/>
      <c r="FY64" s="12"/>
      <c r="FZ64" s="12"/>
      <c r="GA64" s="120"/>
      <c r="GB64" s="118" t="str">
        <f t="shared" si="18"/>
        <v/>
      </c>
      <c r="GC64" s="139" t="str">
        <f t="shared" si="19"/>
        <v/>
      </c>
      <c r="GD64" s="118">
        <f t="shared" si="20"/>
        <v>0</v>
      </c>
      <c r="GE64" s="118">
        <f t="shared" si="21"/>
        <v>0</v>
      </c>
      <c r="GF64" s="118">
        <f t="shared" si="22"/>
        <v>0</v>
      </c>
      <c r="GG64" s="118">
        <f t="shared" si="23"/>
        <v>0</v>
      </c>
      <c r="GH64" s="118">
        <f t="shared" si="24"/>
        <v>0</v>
      </c>
      <c r="GI64" s="118">
        <f t="shared" si="25"/>
        <v>0</v>
      </c>
      <c r="GJ64" s="118">
        <f t="shared" si="26"/>
        <v>0</v>
      </c>
      <c r="GK64" s="118">
        <f t="shared" si="27"/>
        <v>0</v>
      </c>
      <c r="GL64" s="118">
        <f t="shared" si="28"/>
        <v>0</v>
      </c>
      <c r="GM64" s="118">
        <f t="shared" si="29"/>
        <v>0</v>
      </c>
      <c r="GN64" s="118">
        <f t="shared" si="30"/>
        <v>0</v>
      </c>
      <c r="GO64" s="118">
        <f t="shared" si="31"/>
        <v>0</v>
      </c>
      <c r="GP64" s="118">
        <f t="shared" si="32"/>
        <v>0</v>
      </c>
      <c r="GQ64" s="118">
        <f t="shared" si="33"/>
        <v>0</v>
      </c>
      <c r="GR64" s="118">
        <f t="shared" si="34"/>
        <v>0</v>
      </c>
      <c r="GS64" s="121">
        <f t="shared" si="35"/>
        <v>0</v>
      </c>
      <c r="GT64"/>
      <c r="GU64"/>
      <c r="GV64"/>
      <c r="GW64" s="124"/>
      <c r="GX64" s="118"/>
      <c r="GY64" s="118"/>
      <c r="GZ64" s="118"/>
      <c r="HA64" s="118"/>
      <c r="HB64" s="118"/>
      <c r="HC64" s="118"/>
      <c r="HD64" s="118"/>
      <c r="HE64" s="118"/>
      <c r="HF64" s="118"/>
      <c r="HG64" s="118"/>
      <c r="HH64" s="118"/>
      <c r="HI64" s="118"/>
      <c r="HJ64" s="118"/>
      <c r="HK64" s="118"/>
      <c r="HL64" s="118"/>
    </row>
    <row r="65" spans="1:220" s="74" customFormat="1" ht="30" hidden="1" customHeight="1" x14ac:dyDescent="0.35">
      <c r="A65" s="119">
        <v>56</v>
      </c>
      <c r="B65" s="4"/>
      <c r="C65" s="7"/>
      <c r="D65" s="4"/>
      <c r="E65" s="246"/>
      <c r="F65" s="10"/>
      <c r="G65" s="10"/>
      <c r="H65" s="10"/>
      <c r="I65" s="10"/>
      <c r="J65" s="10"/>
      <c r="K65" s="10"/>
      <c r="L65" s="10"/>
      <c r="M65" s="10"/>
      <c r="N65" s="10"/>
      <c r="O65" s="11"/>
      <c r="P65" s="238"/>
      <c r="Q65" s="14"/>
      <c r="R65" s="10"/>
      <c r="S65" s="10"/>
      <c r="T65" s="10"/>
      <c r="U65" s="10"/>
      <c r="V65" s="10"/>
      <c r="W65" s="10"/>
      <c r="X65" s="10"/>
      <c r="Y65" s="10"/>
      <c r="Z65" s="15"/>
      <c r="AA65" s="238"/>
      <c r="AB65" s="14"/>
      <c r="AC65" s="10"/>
      <c r="AD65" s="10"/>
      <c r="AE65" s="10"/>
      <c r="AF65" s="10"/>
      <c r="AG65" s="10"/>
      <c r="AH65" s="10"/>
      <c r="AI65" s="10"/>
      <c r="AJ65" s="10"/>
      <c r="AK65" s="15"/>
      <c r="AL65" s="238"/>
      <c r="AM65" s="14"/>
      <c r="AN65" s="10"/>
      <c r="AO65" s="10"/>
      <c r="AP65" s="10"/>
      <c r="AQ65" s="10"/>
      <c r="AR65" s="10"/>
      <c r="AS65" s="10"/>
      <c r="AT65" s="10"/>
      <c r="AU65" s="10"/>
      <c r="AV65" s="15"/>
      <c r="AW65" s="238"/>
      <c r="AX65" s="14"/>
      <c r="AY65" s="10"/>
      <c r="AZ65" s="10"/>
      <c r="BA65" s="10"/>
      <c r="BB65" s="10"/>
      <c r="BC65" s="10"/>
      <c r="BD65" s="10"/>
      <c r="BE65" s="10"/>
      <c r="BF65" s="10"/>
      <c r="BG65" s="15"/>
      <c r="BH65" s="238"/>
      <c r="BI65" s="14"/>
      <c r="BJ65" s="10"/>
      <c r="BK65" s="10"/>
      <c r="BL65" s="10"/>
      <c r="BM65" s="10"/>
      <c r="BN65" s="10"/>
      <c r="BO65" s="10"/>
      <c r="BP65" s="10"/>
      <c r="BQ65" s="10"/>
      <c r="BR65" s="15"/>
      <c r="BS65" s="238"/>
      <c r="BT65" s="14"/>
      <c r="BU65" s="10"/>
      <c r="BV65" s="10"/>
      <c r="BW65" s="10"/>
      <c r="BX65" s="10"/>
      <c r="BY65" s="10"/>
      <c r="BZ65" s="10"/>
      <c r="CA65" s="10"/>
      <c r="CB65" s="14"/>
      <c r="CC65" s="10"/>
      <c r="CD65" s="10"/>
      <c r="CE65" s="10"/>
      <c r="CF65" s="10"/>
      <c r="CG65" s="10"/>
      <c r="CH65" s="10"/>
      <c r="CI65" s="238"/>
      <c r="CJ65" s="14"/>
      <c r="CK65" s="10"/>
      <c r="CL65" s="10"/>
      <c r="CM65" s="10"/>
      <c r="CN65" s="10"/>
      <c r="CO65" s="10"/>
      <c r="CP65" s="10"/>
      <c r="CQ65" s="10"/>
      <c r="CR65" s="14"/>
      <c r="CS65" s="10"/>
      <c r="CT65" s="10"/>
      <c r="CU65" s="10"/>
      <c r="CV65" s="10"/>
      <c r="CW65" s="10"/>
      <c r="CX65" s="10"/>
      <c r="CY65" s="238"/>
      <c r="CZ65" s="14"/>
      <c r="DA65" s="10"/>
      <c r="DB65" s="10"/>
      <c r="DC65" s="10"/>
      <c r="DD65" s="10"/>
      <c r="DE65" s="10"/>
      <c r="DF65" s="10"/>
      <c r="DG65" s="10"/>
      <c r="DH65" s="14"/>
      <c r="DI65" s="10"/>
      <c r="DJ65" s="10"/>
      <c r="DK65" s="10"/>
      <c r="DL65" s="10"/>
      <c r="DM65" s="10"/>
      <c r="DN65" s="10"/>
      <c r="DO65" s="238"/>
      <c r="DP65" s="14"/>
      <c r="DQ65" s="10"/>
      <c r="DR65" s="10"/>
      <c r="DS65" s="10"/>
      <c r="DT65" s="10"/>
      <c r="DU65" s="10"/>
      <c r="DV65" s="10"/>
      <c r="DW65" s="10"/>
      <c r="DX65" s="14"/>
      <c r="DY65" s="10"/>
      <c r="DZ65" s="10"/>
      <c r="EA65" s="10"/>
      <c r="EB65" s="10"/>
      <c r="EC65" s="10"/>
      <c r="ED65" s="10"/>
      <c r="EE65" s="238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238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238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238"/>
      <c r="FP65" s="14"/>
      <c r="FQ65" s="14"/>
      <c r="FR65" s="14"/>
      <c r="FS65" s="14"/>
      <c r="FT65" s="14"/>
      <c r="FU65" s="238"/>
      <c r="FV65" s="14"/>
      <c r="FW65" s="14"/>
      <c r="FX65" s="14"/>
      <c r="FY65" s="14"/>
      <c r="FZ65" s="14"/>
      <c r="GA65" s="120"/>
      <c r="GB65" s="122" t="str">
        <f t="shared" si="18"/>
        <v/>
      </c>
      <c r="GC65" s="140" t="str">
        <f t="shared" si="19"/>
        <v/>
      </c>
      <c r="GD65" s="122">
        <f t="shared" si="20"/>
        <v>0</v>
      </c>
      <c r="GE65" s="122">
        <f t="shared" si="21"/>
        <v>0</v>
      </c>
      <c r="GF65" s="122">
        <f t="shared" si="22"/>
        <v>0</v>
      </c>
      <c r="GG65" s="122">
        <f t="shared" si="23"/>
        <v>0</v>
      </c>
      <c r="GH65" s="122">
        <f t="shared" si="24"/>
        <v>0</v>
      </c>
      <c r="GI65" s="122">
        <f t="shared" si="25"/>
        <v>0</v>
      </c>
      <c r="GJ65" s="122">
        <f t="shared" si="26"/>
        <v>0</v>
      </c>
      <c r="GK65" s="122">
        <f t="shared" si="27"/>
        <v>0</v>
      </c>
      <c r="GL65" s="122">
        <f t="shared" si="28"/>
        <v>0</v>
      </c>
      <c r="GM65" s="122">
        <f t="shared" si="29"/>
        <v>0</v>
      </c>
      <c r="GN65" s="122">
        <f t="shared" si="30"/>
        <v>0</v>
      </c>
      <c r="GO65" s="122">
        <f t="shared" si="31"/>
        <v>0</v>
      </c>
      <c r="GP65" s="122">
        <f t="shared" si="32"/>
        <v>0</v>
      </c>
      <c r="GQ65" s="122">
        <f t="shared" si="33"/>
        <v>0</v>
      </c>
      <c r="GR65" s="122">
        <f t="shared" si="34"/>
        <v>0</v>
      </c>
      <c r="GS65" s="123">
        <f t="shared" si="35"/>
        <v>0</v>
      </c>
      <c r="GT65"/>
      <c r="GU65"/>
      <c r="GV65"/>
      <c r="GW65" s="124"/>
      <c r="GX65" s="118"/>
      <c r="GY65" s="118"/>
      <c r="GZ65" s="118"/>
      <c r="HA65" s="118"/>
      <c r="HB65" s="118"/>
      <c r="HC65" s="118"/>
      <c r="HD65" s="118"/>
      <c r="HE65" s="118"/>
      <c r="HF65" s="118"/>
      <c r="HG65" s="118"/>
      <c r="HH65" s="118"/>
      <c r="HI65" s="118"/>
      <c r="HJ65" s="118"/>
      <c r="HK65" s="118"/>
      <c r="HL65" s="118"/>
    </row>
    <row r="66" spans="1:220" s="74" customFormat="1" ht="30" hidden="1" customHeight="1" x14ac:dyDescent="0.35">
      <c r="A66" s="119">
        <v>57</v>
      </c>
      <c r="B66" s="3"/>
      <c r="C66" s="6"/>
      <c r="D66" s="3"/>
      <c r="E66" s="246"/>
      <c r="F66" s="8"/>
      <c r="G66" s="8"/>
      <c r="H66" s="8"/>
      <c r="I66" s="8"/>
      <c r="J66" s="8"/>
      <c r="K66" s="8"/>
      <c r="L66" s="8"/>
      <c r="M66" s="8"/>
      <c r="N66" s="8"/>
      <c r="O66" s="9"/>
      <c r="P66" s="238"/>
      <c r="Q66" s="12"/>
      <c r="R66" s="8"/>
      <c r="S66" s="8"/>
      <c r="T66" s="8"/>
      <c r="U66" s="8"/>
      <c r="V66" s="8"/>
      <c r="W66" s="8"/>
      <c r="X66" s="8"/>
      <c r="Y66" s="8"/>
      <c r="Z66" s="13"/>
      <c r="AA66" s="238"/>
      <c r="AB66" s="12"/>
      <c r="AC66" s="8"/>
      <c r="AD66" s="8"/>
      <c r="AE66" s="8"/>
      <c r="AF66" s="8"/>
      <c r="AG66" s="8"/>
      <c r="AH66" s="8"/>
      <c r="AI66" s="8"/>
      <c r="AJ66" s="8"/>
      <c r="AK66" s="13"/>
      <c r="AL66" s="238"/>
      <c r="AM66" s="12"/>
      <c r="AN66" s="8"/>
      <c r="AO66" s="8"/>
      <c r="AP66" s="8"/>
      <c r="AQ66" s="8"/>
      <c r="AR66" s="8"/>
      <c r="AS66" s="8"/>
      <c r="AT66" s="8"/>
      <c r="AU66" s="8"/>
      <c r="AV66" s="13"/>
      <c r="AW66" s="238"/>
      <c r="AX66" s="12"/>
      <c r="AY66" s="8"/>
      <c r="AZ66" s="8"/>
      <c r="BA66" s="8"/>
      <c r="BB66" s="8"/>
      <c r="BC66" s="8"/>
      <c r="BD66" s="8"/>
      <c r="BE66" s="8"/>
      <c r="BF66" s="8"/>
      <c r="BG66" s="13"/>
      <c r="BH66" s="238"/>
      <c r="BI66" s="12"/>
      <c r="BJ66" s="8"/>
      <c r="BK66" s="8"/>
      <c r="BL66" s="8"/>
      <c r="BM66" s="8"/>
      <c r="BN66" s="8"/>
      <c r="BO66" s="8"/>
      <c r="BP66" s="8"/>
      <c r="BQ66" s="8"/>
      <c r="BR66" s="13"/>
      <c r="BS66" s="238"/>
      <c r="BT66" s="12"/>
      <c r="BU66" s="8"/>
      <c r="BV66" s="8"/>
      <c r="BW66" s="8"/>
      <c r="BX66" s="8"/>
      <c r="BY66" s="8"/>
      <c r="BZ66" s="8"/>
      <c r="CA66" s="8"/>
      <c r="CB66" s="12"/>
      <c r="CC66" s="8"/>
      <c r="CD66" s="8"/>
      <c r="CE66" s="8"/>
      <c r="CF66" s="8"/>
      <c r="CG66" s="8"/>
      <c r="CH66" s="8"/>
      <c r="CI66" s="238"/>
      <c r="CJ66" s="12"/>
      <c r="CK66" s="8"/>
      <c r="CL66" s="8"/>
      <c r="CM66" s="8"/>
      <c r="CN66" s="8"/>
      <c r="CO66" s="8"/>
      <c r="CP66" s="8"/>
      <c r="CQ66" s="8"/>
      <c r="CR66" s="12"/>
      <c r="CS66" s="8"/>
      <c r="CT66" s="8"/>
      <c r="CU66" s="8"/>
      <c r="CV66" s="8"/>
      <c r="CW66" s="8"/>
      <c r="CX66" s="8"/>
      <c r="CY66" s="238"/>
      <c r="CZ66" s="12"/>
      <c r="DA66" s="8"/>
      <c r="DB66" s="8"/>
      <c r="DC66" s="8"/>
      <c r="DD66" s="8"/>
      <c r="DE66" s="8"/>
      <c r="DF66" s="8"/>
      <c r="DG66" s="8"/>
      <c r="DH66" s="12"/>
      <c r="DI66" s="8"/>
      <c r="DJ66" s="8"/>
      <c r="DK66" s="8"/>
      <c r="DL66" s="8"/>
      <c r="DM66" s="8"/>
      <c r="DN66" s="8"/>
      <c r="DO66" s="238"/>
      <c r="DP66" s="12"/>
      <c r="DQ66" s="8"/>
      <c r="DR66" s="8"/>
      <c r="DS66" s="8"/>
      <c r="DT66" s="8"/>
      <c r="DU66" s="8"/>
      <c r="DV66" s="8"/>
      <c r="DW66" s="8"/>
      <c r="DX66" s="12"/>
      <c r="DY66" s="8"/>
      <c r="DZ66" s="8"/>
      <c r="EA66" s="8"/>
      <c r="EB66" s="8"/>
      <c r="EC66" s="8"/>
      <c r="ED66" s="8"/>
      <c r="EE66" s="238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238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238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238"/>
      <c r="FP66" s="12"/>
      <c r="FQ66" s="12"/>
      <c r="FR66" s="12"/>
      <c r="FS66" s="12"/>
      <c r="FT66" s="12"/>
      <c r="FU66" s="238"/>
      <c r="FV66" s="12"/>
      <c r="FW66" s="12"/>
      <c r="FX66" s="12"/>
      <c r="FY66" s="12"/>
      <c r="FZ66" s="12"/>
      <c r="GA66" s="120"/>
      <c r="GB66" s="118" t="str">
        <f t="shared" si="18"/>
        <v/>
      </c>
      <c r="GC66" s="139" t="str">
        <f t="shared" si="19"/>
        <v/>
      </c>
      <c r="GD66" s="118">
        <f t="shared" si="20"/>
        <v>0</v>
      </c>
      <c r="GE66" s="118">
        <f t="shared" si="21"/>
        <v>0</v>
      </c>
      <c r="GF66" s="118">
        <f t="shared" si="22"/>
        <v>0</v>
      </c>
      <c r="GG66" s="118">
        <f t="shared" si="23"/>
        <v>0</v>
      </c>
      <c r="GH66" s="118">
        <f t="shared" si="24"/>
        <v>0</v>
      </c>
      <c r="GI66" s="118">
        <f t="shared" si="25"/>
        <v>0</v>
      </c>
      <c r="GJ66" s="118">
        <f t="shared" si="26"/>
        <v>0</v>
      </c>
      <c r="GK66" s="118">
        <f t="shared" si="27"/>
        <v>0</v>
      </c>
      <c r="GL66" s="118">
        <f t="shared" si="28"/>
        <v>0</v>
      </c>
      <c r="GM66" s="118">
        <f t="shared" si="29"/>
        <v>0</v>
      </c>
      <c r="GN66" s="118">
        <f t="shared" si="30"/>
        <v>0</v>
      </c>
      <c r="GO66" s="118">
        <f t="shared" si="31"/>
        <v>0</v>
      </c>
      <c r="GP66" s="118">
        <f t="shared" si="32"/>
        <v>0</v>
      </c>
      <c r="GQ66" s="118">
        <f t="shared" si="33"/>
        <v>0</v>
      </c>
      <c r="GR66" s="118">
        <f t="shared" si="34"/>
        <v>0</v>
      </c>
      <c r="GS66" s="121">
        <f t="shared" si="35"/>
        <v>0</v>
      </c>
      <c r="GT66"/>
      <c r="GU66"/>
      <c r="GV66"/>
      <c r="GW66" s="124"/>
      <c r="GX66" s="118"/>
      <c r="GY66" s="118"/>
      <c r="GZ66" s="118"/>
      <c r="HA66" s="118"/>
      <c r="HB66" s="118"/>
      <c r="HC66" s="118"/>
      <c r="HD66" s="118"/>
      <c r="HE66" s="118"/>
      <c r="HF66" s="118"/>
      <c r="HG66" s="118"/>
      <c r="HH66" s="118"/>
      <c r="HI66" s="118"/>
      <c r="HJ66" s="118"/>
      <c r="HK66" s="118"/>
      <c r="HL66" s="118"/>
    </row>
    <row r="67" spans="1:220" s="74" customFormat="1" ht="30" hidden="1" customHeight="1" x14ac:dyDescent="0.35">
      <c r="A67" s="119">
        <v>58</v>
      </c>
      <c r="B67" s="4"/>
      <c r="C67" s="7"/>
      <c r="D67" s="4"/>
      <c r="E67" s="246"/>
      <c r="F67" s="10"/>
      <c r="G67" s="10"/>
      <c r="H67" s="10"/>
      <c r="I67" s="10"/>
      <c r="J67" s="10"/>
      <c r="K67" s="10"/>
      <c r="L67" s="10"/>
      <c r="M67" s="10"/>
      <c r="N67" s="10"/>
      <c r="O67" s="11"/>
      <c r="P67" s="238"/>
      <c r="Q67" s="14"/>
      <c r="R67" s="10"/>
      <c r="S67" s="10"/>
      <c r="T67" s="10"/>
      <c r="U67" s="10"/>
      <c r="V67" s="10"/>
      <c r="W67" s="10"/>
      <c r="X67" s="10"/>
      <c r="Y67" s="10"/>
      <c r="Z67" s="15"/>
      <c r="AA67" s="238"/>
      <c r="AB67" s="14"/>
      <c r="AC67" s="10"/>
      <c r="AD67" s="10"/>
      <c r="AE67" s="10"/>
      <c r="AF67" s="10"/>
      <c r="AG67" s="10"/>
      <c r="AH67" s="10"/>
      <c r="AI67" s="10"/>
      <c r="AJ67" s="10"/>
      <c r="AK67" s="15"/>
      <c r="AL67" s="238"/>
      <c r="AM67" s="14"/>
      <c r="AN67" s="10"/>
      <c r="AO67" s="10"/>
      <c r="AP67" s="10"/>
      <c r="AQ67" s="10"/>
      <c r="AR67" s="10"/>
      <c r="AS67" s="10"/>
      <c r="AT67" s="10"/>
      <c r="AU67" s="10"/>
      <c r="AV67" s="15"/>
      <c r="AW67" s="238"/>
      <c r="AX67" s="14"/>
      <c r="AY67" s="10"/>
      <c r="AZ67" s="10"/>
      <c r="BA67" s="10"/>
      <c r="BB67" s="10"/>
      <c r="BC67" s="10"/>
      <c r="BD67" s="10"/>
      <c r="BE67" s="10"/>
      <c r="BF67" s="10"/>
      <c r="BG67" s="15"/>
      <c r="BH67" s="238"/>
      <c r="BI67" s="14"/>
      <c r="BJ67" s="10"/>
      <c r="BK67" s="10"/>
      <c r="BL67" s="10"/>
      <c r="BM67" s="10"/>
      <c r="BN67" s="10"/>
      <c r="BO67" s="10"/>
      <c r="BP67" s="10"/>
      <c r="BQ67" s="10"/>
      <c r="BR67" s="15"/>
      <c r="BS67" s="238"/>
      <c r="BT67" s="14"/>
      <c r="BU67" s="10"/>
      <c r="BV67" s="10"/>
      <c r="BW67" s="10"/>
      <c r="BX67" s="10"/>
      <c r="BY67" s="10"/>
      <c r="BZ67" s="10"/>
      <c r="CA67" s="10"/>
      <c r="CB67" s="14"/>
      <c r="CC67" s="10"/>
      <c r="CD67" s="10"/>
      <c r="CE67" s="10"/>
      <c r="CF67" s="10"/>
      <c r="CG67" s="10"/>
      <c r="CH67" s="10"/>
      <c r="CI67" s="238"/>
      <c r="CJ67" s="14"/>
      <c r="CK67" s="10"/>
      <c r="CL67" s="10"/>
      <c r="CM67" s="10"/>
      <c r="CN67" s="10"/>
      <c r="CO67" s="10"/>
      <c r="CP67" s="10"/>
      <c r="CQ67" s="10"/>
      <c r="CR67" s="14"/>
      <c r="CS67" s="10"/>
      <c r="CT67" s="10"/>
      <c r="CU67" s="10"/>
      <c r="CV67" s="10"/>
      <c r="CW67" s="10"/>
      <c r="CX67" s="10"/>
      <c r="CY67" s="238"/>
      <c r="CZ67" s="14"/>
      <c r="DA67" s="10"/>
      <c r="DB67" s="10"/>
      <c r="DC67" s="10"/>
      <c r="DD67" s="10"/>
      <c r="DE67" s="10"/>
      <c r="DF67" s="10"/>
      <c r="DG67" s="10"/>
      <c r="DH67" s="14"/>
      <c r="DI67" s="10"/>
      <c r="DJ67" s="10"/>
      <c r="DK67" s="10"/>
      <c r="DL67" s="10"/>
      <c r="DM67" s="10"/>
      <c r="DN67" s="10"/>
      <c r="DO67" s="238"/>
      <c r="DP67" s="14"/>
      <c r="DQ67" s="10"/>
      <c r="DR67" s="10"/>
      <c r="DS67" s="10"/>
      <c r="DT67" s="10"/>
      <c r="DU67" s="10"/>
      <c r="DV67" s="10"/>
      <c r="DW67" s="10"/>
      <c r="DX67" s="14"/>
      <c r="DY67" s="10"/>
      <c r="DZ67" s="10"/>
      <c r="EA67" s="10"/>
      <c r="EB67" s="10"/>
      <c r="EC67" s="10"/>
      <c r="ED67" s="10"/>
      <c r="EE67" s="238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238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238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238"/>
      <c r="FP67" s="14"/>
      <c r="FQ67" s="14"/>
      <c r="FR67" s="14"/>
      <c r="FS67" s="14"/>
      <c r="FT67" s="14"/>
      <c r="FU67" s="238"/>
      <c r="FV67" s="14"/>
      <c r="FW67" s="14"/>
      <c r="FX67" s="14"/>
      <c r="FY67" s="14"/>
      <c r="FZ67" s="14"/>
      <c r="GA67" s="120"/>
      <c r="GB67" s="122" t="str">
        <f t="shared" si="18"/>
        <v/>
      </c>
      <c r="GC67" s="140" t="str">
        <f t="shared" si="19"/>
        <v/>
      </c>
      <c r="GD67" s="122">
        <f t="shared" si="20"/>
        <v>0</v>
      </c>
      <c r="GE67" s="122">
        <f t="shared" si="21"/>
        <v>0</v>
      </c>
      <c r="GF67" s="122">
        <f t="shared" si="22"/>
        <v>0</v>
      </c>
      <c r="GG67" s="122">
        <f t="shared" si="23"/>
        <v>0</v>
      </c>
      <c r="GH67" s="122">
        <f t="shared" si="24"/>
        <v>0</v>
      </c>
      <c r="GI67" s="122">
        <f t="shared" si="25"/>
        <v>0</v>
      </c>
      <c r="GJ67" s="122">
        <f t="shared" si="26"/>
        <v>0</v>
      </c>
      <c r="GK67" s="122">
        <f t="shared" si="27"/>
        <v>0</v>
      </c>
      <c r="GL67" s="122">
        <f t="shared" si="28"/>
        <v>0</v>
      </c>
      <c r="GM67" s="122">
        <f t="shared" si="29"/>
        <v>0</v>
      </c>
      <c r="GN67" s="122">
        <f t="shared" si="30"/>
        <v>0</v>
      </c>
      <c r="GO67" s="122">
        <f t="shared" si="31"/>
        <v>0</v>
      </c>
      <c r="GP67" s="122">
        <f t="shared" si="32"/>
        <v>0</v>
      </c>
      <c r="GQ67" s="122">
        <f t="shared" si="33"/>
        <v>0</v>
      </c>
      <c r="GR67" s="122">
        <f t="shared" si="34"/>
        <v>0</v>
      </c>
      <c r="GS67" s="123">
        <f t="shared" si="35"/>
        <v>0</v>
      </c>
      <c r="GT67"/>
      <c r="GU67"/>
      <c r="GV67"/>
      <c r="GW67" s="124"/>
      <c r="GX67" s="118"/>
      <c r="GY67" s="118"/>
      <c r="GZ67" s="118"/>
      <c r="HA67" s="118"/>
      <c r="HB67" s="118"/>
      <c r="HC67" s="118"/>
      <c r="HD67" s="118"/>
      <c r="HE67" s="118"/>
      <c r="HF67" s="118"/>
      <c r="HG67" s="118"/>
      <c r="HH67" s="118"/>
      <c r="HI67" s="118"/>
      <c r="HJ67" s="118"/>
      <c r="HK67" s="118"/>
      <c r="HL67" s="118"/>
    </row>
    <row r="68" spans="1:220" s="74" customFormat="1" ht="30" hidden="1" customHeight="1" x14ac:dyDescent="0.35">
      <c r="A68" s="119">
        <v>59</v>
      </c>
      <c r="B68" s="3"/>
      <c r="C68" s="6"/>
      <c r="D68" s="3"/>
      <c r="E68" s="246"/>
      <c r="F68" s="8"/>
      <c r="G68" s="8"/>
      <c r="H68" s="8"/>
      <c r="I68" s="8"/>
      <c r="J68" s="8"/>
      <c r="K68" s="8"/>
      <c r="L68" s="8"/>
      <c r="M68" s="8"/>
      <c r="N68" s="8"/>
      <c r="O68" s="9"/>
      <c r="P68" s="238"/>
      <c r="Q68" s="12"/>
      <c r="R68" s="8"/>
      <c r="S68" s="8"/>
      <c r="T68" s="8"/>
      <c r="U68" s="8"/>
      <c r="V68" s="8"/>
      <c r="W68" s="8"/>
      <c r="X68" s="8"/>
      <c r="Y68" s="8"/>
      <c r="Z68" s="13"/>
      <c r="AA68" s="238"/>
      <c r="AB68" s="12"/>
      <c r="AC68" s="8"/>
      <c r="AD68" s="8"/>
      <c r="AE68" s="8"/>
      <c r="AF68" s="8"/>
      <c r="AG68" s="8"/>
      <c r="AH68" s="8"/>
      <c r="AI68" s="8"/>
      <c r="AJ68" s="8"/>
      <c r="AK68" s="13"/>
      <c r="AL68" s="238"/>
      <c r="AM68" s="12"/>
      <c r="AN68" s="8"/>
      <c r="AO68" s="8"/>
      <c r="AP68" s="8"/>
      <c r="AQ68" s="8"/>
      <c r="AR68" s="8"/>
      <c r="AS68" s="8"/>
      <c r="AT68" s="8"/>
      <c r="AU68" s="8"/>
      <c r="AV68" s="13"/>
      <c r="AW68" s="238"/>
      <c r="AX68" s="12"/>
      <c r="AY68" s="8"/>
      <c r="AZ68" s="8"/>
      <c r="BA68" s="8"/>
      <c r="BB68" s="8"/>
      <c r="BC68" s="8"/>
      <c r="BD68" s="8"/>
      <c r="BE68" s="8"/>
      <c r="BF68" s="8"/>
      <c r="BG68" s="13"/>
      <c r="BH68" s="238"/>
      <c r="BI68" s="12"/>
      <c r="BJ68" s="8"/>
      <c r="BK68" s="8"/>
      <c r="BL68" s="8"/>
      <c r="BM68" s="8"/>
      <c r="BN68" s="8"/>
      <c r="BO68" s="8"/>
      <c r="BP68" s="8"/>
      <c r="BQ68" s="8"/>
      <c r="BR68" s="13"/>
      <c r="BS68" s="238"/>
      <c r="BT68" s="12"/>
      <c r="BU68" s="8"/>
      <c r="BV68" s="8"/>
      <c r="BW68" s="8"/>
      <c r="BX68" s="8"/>
      <c r="BY68" s="8"/>
      <c r="BZ68" s="8"/>
      <c r="CA68" s="8"/>
      <c r="CB68" s="12"/>
      <c r="CC68" s="8"/>
      <c r="CD68" s="8"/>
      <c r="CE68" s="8"/>
      <c r="CF68" s="8"/>
      <c r="CG68" s="8"/>
      <c r="CH68" s="8"/>
      <c r="CI68" s="238"/>
      <c r="CJ68" s="12"/>
      <c r="CK68" s="8"/>
      <c r="CL68" s="8"/>
      <c r="CM68" s="8"/>
      <c r="CN68" s="8"/>
      <c r="CO68" s="8"/>
      <c r="CP68" s="8"/>
      <c r="CQ68" s="8"/>
      <c r="CR68" s="12"/>
      <c r="CS68" s="8"/>
      <c r="CT68" s="8"/>
      <c r="CU68" s="8"/>
      <c r="CV68" s="8"/>
      <c r="CW68" s="8"/>
      <c r="CX68" s="8"/>
      <c r="CY68" s="238"/>
      <c r="CZ68" s="12"/>
      <c r="DA68" s="8"/>
      <c r="DB68" s="8"/>
      <c r="DC68" s="8"/>
      <c r="DD68" s="8"/>
      <c r="DE68" s="8"/>
      <c r="DF68" s="8"/>
      <c r="DG68" s="8"/>
      <c r="DH68" s="12"/>
      <c r="DI68" s="8"/>
      <c r="DJ68" s="8"/>
      <c r="DK68" s="8"/>
      <c r="DL68" s="8"/>
      <c r="DM68" s="8"/>
      <c r="DN68" s="8"/>
      <c r="DO68" s="238"/>
      <c r="DP68" s="12"/>
      <c r="DQ68" s="8"/>
      <c r="DR68" s="8"/>
      <c r="DS68" s="8"/>
      <c r="DT68" s="8"/>
      <c r="DU68" s="8"/>
      <c r="DV68" s="8"/>
      <c r="DW68" s="8"/>
      <c r="DX68" s="12"/>
      <c r="DY68" s="8"/>
      <c r="DZ68" s="8"/>
      <c r="EA68" s="8"/>
      <c r="EB68" s="8"/>
      <c r="EC68" s="8"/>
      <c r="ED68" s="8"/>
      <c r="EE68" s="238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238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238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238"/>
      <c r="FP68" s="12"/>
      <c r="FQ68" s="12"/>
      <c r="FR68" s="12"/>
      <c r="FS68" s="12"/>
      <c r="FT68" s="12"/>
      <c r="FU68" s="238"/>
      <c r="FV68" s="12"/>
      <c r="FW68" s="12"/>
      <c r="FX68" s="12"/>
      <c r="FY68" s="12"/>
      <c r="FZ68" s="12"/>
      <c r="GA68" s="120"/>
      <c r="GB68" s="118" t="str">
        <f t="shared" si="18"/>
        <v/>
      </c>
      <c r="GC68" s="139" t="str">
        <f t="shared" si="19"/>
        <v/>
      </c>
      <c r="GD68" s="118">
        <f t="shared" si="20"/>
        <v>0</v>
      </c>
      <c r="GE68" s="118">
        <f t="shared" si="21"/>
        <v>0</v>
      </c>
      <c r="GF68" s="118">
        <f t="shared" si="22"/>
        <v>0</v>
      </c>
      <c r="GG68" s="118">
        <f t="shared" si="23"/>
        <v>0</v>
      </c>
      <c r="GH68" s="118">
        <f t="shared" si="24"/>
        <v>0</v>
      </c>
      <c r="GI68" s="118">
        <f t="shared" si="25"/>
        <v>0</v>
      </c>
      <c r="GJ68" s="118">
        <f t="shared" si="26"/>
        <v>0</v>
      </c>
      <c r="GK68" s="118">
        <f t="shared" si="27"/>
        <v>0</v>
      </c>
      <c r="GL68" s="118">
        <f t="shared" si="28"/>
        <v>0</v>
      </c>
      <c r="GM68" s="118">
        <f t="shared" si="29"/>
        <v>0</v>
      </c>
      <c r="GN68" s="118">
        <f t="shared" si="30"/>
        <v>0</v>
      </c>
      <c r="GO68" s="118">
        <f t="shared" si="31"/>
        <v>0</v>
      </c>
      <c r="GP68" s="118">
        <f t="shared" si="32"/>
        <v>0</v>
      </c>
      <c r="GQ68" s="118">
        <f t="shared" si="33"/>
        <v>0</v>
      </c>
      <c r="GR68" s="118">
        <f t="shared" si="34"/>
        <v>0</v>
      </c>
      <c r="GS68" s="121">
        <f t="shared" si="35"/>
        <v>0</v>
      </c>
      <c r="GT68"/>
      <c r="GU68"/>
      <c r="GV68"/>
      <c r="GW68" s="124"/>
      <c r="GX68" s="118"/>
      <c r="GY68" s="118"/>
      <c r="GZ68" s="118"/>
      <c r="HA68" s="118"/>
      <c r="HB68" s="118"/>
      <c r="HC68" s="118"/>
      <c r="HD68" s="118"/>
      <c r="HE68" s="118"/>
      <c r="HF68" s="118"/>
      <c r="HG68" s="118"/>
      <c r="HH68" s="118"/>
      <c r="HI68" s="118"/>
      <c r="HJ68" s="118"/>
      <c r="HK68" s="118"/>
      <c r="HL68" s="118"/>
    </row>
    <row r="69" spans="1:220" s="74" customFormat="1" ht="30" hidden="1" customHeight="1" x14ac:dyDescent="0.35">
      <c r="A69" s="119">
        <v>60</v>
      </c>
      <c r="B69" s="4"/>
      <c r="C69" s="7"/>
      <c r="D69" s="4"/>
      <c r="E69" s="246"/>
      <c r="F69" s="10"/>
      <c r="G69" s="10"/>
      <c r="H69" s="10"/>
      <c r="I69" s="10"/>
      <c r="J69" s="10"/>
      <c r="K69" s="10"/>
      <c r="L69" s="10"/>
      <c r="M69" s="10"/>
      <c r="N69" s="10"/>
      <c r="O69" s="11"/>
      <c r="P69" s="238"/>
      <c r="Q69" s="14"/>
      <c r="R69" s="10"/>
      <c r="S69" s="10"/>
      <c r="T69" s="10"/>
      <c r="U69" s="10"/>
      <c r="V69" s="10"/>
      <c r="W69" s="10"/>
      <c r="X69" s="10"/>
      <c r="Y69" s="10"/>
      <c r="Z69" s="15"/>
      <c r="AA69" s="238"/>
      <c r="AB69" s="14"/>
      <c r="AC69" s="10"/>
      <c r="AD69" s="10"/>
      <c r="AE69" s="10"/>
      <c r="AF69" s="10"/>
      <c r="AG69" s="10"/>
      <c r="AH69" s="10"/>
      <c r="AI69" s="10"/>
      <c r="AJ69" s="10"/>
      <c r="AK69" s="15"/>
      <c r="AL69" s="238"/>
      <c r="AM69" s="14"/>
      <c r="AN69" s="10"/>
      <c r="AO69" s="10"/>
      <c r="AP69" s="10"/>
      <c r="AQ69" s="10"/>
      <c r="AR69" s="10"/>
      <c r="AS69" s="10"/>
      <c r="AT69" s="10"/>
      <c r="AU69" s="10"/>
      <c r="AV69" s="15"/>
      <c r="AW69" s="238"/>
      <c r="AX69" s="14"/>
      <c r="AY69" s="10"/>
      <c r="AZ69" s="10"/>
      <c r="BA69" s="10"/>
      <c r="BB69" s="10"/>
      <c r="BC69" s="10"/>
      <c r="BD69" s="10"/>
      <c r="BE69" s="10"/>
      <c r="BF69" s="10"/>
      <c r="BG69" s="15"/>
      <c r="BH69" s="238"/>
      <c r="BI69" s="14"/>
      <c r="BJ69" s="10"/>
      <c r="BK69" s="10"/>
      <c r="BL69" s="10"/>
      <c r="BM69" s="10"/>
      <c r="BN69" s="10"/>
      <c r="BO69" s="10"/>
      <c r="BP69" s="10"/>
      <c r="BQ69" s="10"/>
      <c r="BR69" s="15"/>
      <c r="BS69" s="238"/>
      <c r="BT69" s="14"/>
      <c r="BU69" s="10"/>
      <c r="BV69" s="10"/>
      <c r="BW69" s="10"/>
      <c r="BX69" s="10"/>
      <c r="BY69" s="10"/>
      <c r="BZ69" s="10"/>
      <c r="CA69" s="10"/>
      <c r="CB69" s="14"/>
      <c r="CC69" s="10"/>
      <c r="CD69" s="10"/>
      <c r="CE69" s="10"/>
      <c r="CF69" s="10"/>
      <c r="CG69" s="10"/>
      <c r="CH69" s="10"/>
      <c r="CI69" s="238"/>
      <c r="CJ69" s="14"/>
      <c r="CK69" s="10"/>
      <c r="CL69" s="10"/>
      <c r="CM69" s="10"/>
      <c r="CN69" s="10"/>
      <c r="CO69" s="10"/>
      <c r="CP69" s="10"/>
      <c r="CQ69" s="10"/>
      <c r="CR69" s="14"/>
      <c r="CS69" s="10"/>
      <c r="CT69" s="10"/>
      <c r="CU69" s="10"/>
      <c r="CV69" s="10"/>
      <c r="CW69" s="10"/>
      <c r="CX69" s="10"/>
      <c r="CY69" s="238"/>
      <c r="CZ69" s="14"/>
      <c r="DA69" s="10"/>
      <c r="DB69" s="10"/>
      <c r="DC69" s="10"/>
      <c r="DD69" s="10"/>
      <c r="DE69" s="10"/>
      <c r="DF69" s="10"/>
      <c r="DG69" s="10"/>
      <c r="DH69" s="14"/>
      <c r="DI69" s="10"/>
      <c r="DJ69" s="10"/>
      <c r="DK69" s="10"/>
      <c r="DL69" s="10"/>
      <c r="DM69" s="10"/>
      <c r="DN69" s="10"/>
      <c r="DO69" s="238"/>
      <c r="DP69" s="14"/>
      <c r="DQ69" s="10"/>
      <c r="DR69" s="10"/>
      <c r="DS69" s="10"/>
      <c r="DT69" s="10"/>
      <c r="DU69" s="10"/>
      <c r="DV69" s="10"/>
      <c r="DW69" s="10"/>
      <c r="DX69" s="14"/>
      <c r="DY69" s="10"/>
      <c r="DZ69" s="10"/>
      <c r="EA69" s="10"/>
      <c r="EB69" s="10"/>
      <c r="EC69" s="10"/>
      <c r="ED69" s="10"/>
      <c r="EE69" s="238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238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238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238"/>
      <c r="FP69" s="14"/>
      <c r="FQ69" s="14"/>
      <c r="FR69" s="14"/>
      <c r="FS69" s="14"/>
      <c r="FT69" s="14"/>
      <c r="FU69" s="238"/>
      <c r="FV69" s="14"/>
      <c r="FW69" s="14"/>
      <c r="FX69" s="14"/>
      <c r="FY69" s="14"/>
      <c r="FZ69" s="14"/>
      <c r="GA69" s="120"/>
      <c r="GB69" s="122" t="str">
        <f t="shared" si="18"/>
        <v/>
      </c>
      <c r="GC69" s="140" t="str">
        <f t="shared" si="19"/>
        <v/>
      </c>
      <c r="GD69" s="122">
        <f t="shared" si="20"/>
        <v>0</v>
      </c>
      <c r="GE69" s="122">
        <f t="shared" si="21"/>
        <v>0</v>
      </c>
      <c r="GF69" s="122">
        <f t="shared" si="22"/>
        <v>0</v>
      </c>
      <c r="GG69" s="122">
        <f t="shared" si="23"/>
        <v>0</v>
      </c>
      <c r="GH69" s="122">
        <f t="shared" si="24"/>
        <v>0</v>
      </c>
      <c r="GI69" s="122">
        <f t="shared" si="25"/>
        <v>0</v>
      </c>
      <c r="GJ69" s="122">
        <f t="shared" si="26"/>
        <v>0</v>
      </c>
      <c r="GK69" s="122">
        <f t="shared" si="27"/>
        <v>0</v>
      </c>
      <c r="GL69" s="122">
        <f t="shared" si="28"/>
        <v>0</v>
      </c>
      <c r="GM69" s="122">
        <f t="shared" si="29"/>
        <v>0</v>
      </c>
      <c r="GN69" s="122">
        <f t="shared" si="30"/>
        <v>0</v>
      </c>
      <c r="GO69" s="122">
        <f t="shared" si="31"/>
        <v>0</v>
      </c>
      <c r="GP69" s="122">
        <f t="shared" si="32"/>
        <v>0</v>
      </c>
      <c r="GQ69" s="122">
        <f t="shared" si="33"/>
        <v>0</v>
      </c>
      <c r="GR69" s="122">
        <f t="shared" si="34"/>
        <v>0</v>
      </c>
      <c r="GS69" s="123">
        <f t="shared" si="35"/>
        <v>0</v>
      </c>
      <c r="GT69"/>
      <c r="GU69"/>
      <c r="GV69"/>
      <c r="GW69" s="124"/>
      <c r="GX69" s="118"/>
      <c r="GY69" s="118"/>
      <c r="GZ69" s="118"/>
      <c r="HA69" s="118"/>
      <c r="HB69" s="118"/>
      <c r="HC69" s="118"/>
      <c r="HD69" s="118"/>
      <c r="HE69" s="118"/>
      <c r="HF69" s="118"/>
      <c r="HG69" s="118"/>
      <c r="HH69" s="118"/>
      <c r="HI69" s="118"/>
      <c r="HJ69" s="118"/>
      <c r="HK69" s="118"/>
      <c r="HL69" s="118"/>
    </row>
    <row r="70" spans="1:220" s="74" customFormat="1" ht="30" hidden="1" customHeight="1" x14ac:dyDescent="0.35">
      <c r="A70" s="119">
        <v>61</v>
      </c>
      <c r="B70" s="3"/>
      <c r="C70" s="6"/>
      <c r="D70" s="3"/>
      <c r="E70" s="246"/>
      <c r="F70" s="8"/>
      <c r="G70" s="8"/>
      <c r="H70" s="8"/>
      <c r="I70" s="8"/>
      <c r="J70" s="8"/>
      <c r="K70" s="8"/>
      <c r="L70" s="8"/>
      <c r="M70" s="8"/>
      <c r="N70" s="8"/>
      <c r="O70" s="9"/>
      <c r="P70" s="238"/>
      <c r="Q70" s="12"/>
      <c r="R70" s="8"/>
      <c r="S70" s="8"/>
      <c r="T70" s="8"/>
      <c r="U70" s="8"/>
      <c r="V70" s="8"/>
      <c r="W70" s="8"/>
      <c r="X70" s="8"/>
      <c r="Y70" s="8"/>
      <c r="Z70" s="13"/>
      <c r="AA70" s="238"/>
      <c r="AB70" s="12"/>
      <c r="AC70" s="8"/>
      <c r="AD70" s="8"/>
      <c r="AE70" s="8"/>
      <c r="AF70" s="8"/>
      <c r="AG70" s="8"/>
      <c r="AH70" s="8"/>
      <c r="AI70" s="8"/>
      <c r="AJ70" s="8"/>
      <c r="AK70" s="13"/>
      <c r="AL70" s="238"/>
      <c r="AM70" s="12"/>
      <c r="AN70" s="8"/>
      <c r="AO70" s="8"/>
      <c r="AP70" s="8"/>
      <c r="AQ70" s="8"/>
      <c r="AR70" s="8"/>
      <c r="AS70" s="8"/>
      <c r="AT70" s="8"/>
      <c r="AU70" s="8"/>
      <c r="AV70" s="13"/>
      <c r="AW70" s="238"/>
      <c r="AX70" s="12"/>
      <c r="AY70" s="8"/>
      <c r="AZ70" s="8"/>
      <c r="BA70" s="8"/>
      <c r="BB70" s="8"/>
      <c r="BC70" s="8"/>
      <c r="BD70" s="8"/>
      <c r="BE70" s="8"/>
      <c r="BF70" s="8"/>
      <c r="BG70" s="13"/>
      <c r="BH70" s="238"/>
      <c r="BI70" s="12"/>
      <c r="BJ70" s="8"/>
      <c r="BK70" s="8"/>
      <c r="BL70" s="8"/>
      <c r="BM70" s="8"/>
      <c r="BN70" s="8"/>
      <c r="BO70" s="8"/>
      <c r="BP70" s="8"/>
      <c r="BQ70" s="8"/>
      <c r="BR70" s="13"/>
      <c r="BS70" s="238"/>
      <c r="BT70" s="12"/>
      <c r="BU70" s="8"/>
      <c r="BV70" s="8"/>
      <c r="BW70" s="8"/>
      <c r="BX70" s="8"/>
      <c r="BY70" s="8"/>
      <c r="BZ70" s="8"/>
      <c r="CA70" s="8"/>
      <c r="CB70" s="12"/>
      <c r="CC70" s="8"/>
      <c r="CD70" s="8"/>
      <c r="CE70" s="8"/>
      <c r="CF70" s="8"/>
      <c r="CG70" s="8"/>
      <c r="CH70" s="8"/>
      <c r="CI70" s="238"/>
      <c r="CJ70" s="12"/>
      <c r="CK70" s="8"/>
      <c r="CL70" s="8"/>
      <c r="CM70" s="8"/>
      <c r="CN70" s="8"/>
      <c r="CO70" s="8"/>
      <c r="CP70" s="8"/>
      <c r="CQ70" s="8"/>
      <c r="CR70" s="12"/>
      <c r="CS70" s="8"/>
      <c r="CT70" s="8"/>
      <c r="CU70" s="8"/>
      <c r="CV70" s="8"/>
      <c r="CW70" s="8"/>
      <c r="CX70" s="8"/>
      <c r="CY70" s="238"/>
      <c r="CZ70" s="12"/>
      <c r="DA70" s="8"/>
      <c r="DB70" s="8"/>
      <c r="DC70" s="8"/>
      <c r="DD70" s="8"/>
      <c r="DE70" s="8"/>
      <c r="DF70" s="8"/>
      <c r="DG70" s="8"/>
      <c r="DH70" s="12"/>
      <c r="DI70" s="8"/>
      <c r="DJ70" s="8"/>
      <c r="DK70" s="8"/>
      <c r="DL70" s="8"/>
      <c r="DM70" s="8"/>
      <c r="DN70" s="8"/>
      <c r="DO70" s="238"/>
      <c r="DP70" s="12"/>
      <c r="DQ70" s="8"/>
      <c r="DR70" s="8"/>
      <c r="DS70" s="8"/>
      <c r="DT70" s="8"/>
      <c r="DU70" s="8"/>
      <c r="DV70" s="8"/>
      <c r="DW70" s="8"/>
      <c r="DX70" s="12"/>
      <c r="DY70" s="8"/>
      <c r="DZ70" s="8"/>
      <c r="EA70" s="8"/>
      <c r="EB70" s="8"/>
      <c r="EC70" s="8"/>
      <c r="ED70" s="8"/>
      <c r="EE70" s="238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238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238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238"/>
      <c r="FP70" s="12"/>
      <c r="FQ70" s="12"/>
      <c r="FR70" s="12"/>
      <c r="FS70" s="12"/>
      <c r="FT70" s="12"/>
      <c r="FU70" s="238"/>
      <c r="FV70" s="12"/>
      <c r="FW70" s="12"/>
      <c r="FX70" s="12"/>
      <c r="FY70" s="12"/>
      <c r="FZ70" s="12"/>
      <c r="GA70" s="120"/>
      <c r="GB70" s="118" t="str">
        <f t="shared" si="18"/>
        <v/>
      </c>
      <c r="GC70" s="139" t="str">
        <f t="shared" si="19"/>
        <v/>
      </c>
      <c r="GD70" s="118">
        <f t="shared" si="20"/>
        <v>0</v>
      </c>
      <c r="GE70" s="118">
        <f t="shared" si="21"/>
        <v>0</v>
      </c>
      <c r="GF70" s="118">
        <f t="shared" si="22"/>
        <v>0</v>
      </c>
      <c r="GG70" s="118">
        <f t="shared" si="23"/>
        <v>0</v>
      </c>
      <c r="GH70" s="118">
        <f t="shared" si="24"/>
        <v>0</v>
      </c>
      <c r="GI70" s="118">
        <f t="shared" si="25"/>
        <v>0</v>
      </c>
      <c r="GJ70" s="118">
        <f t="shared" si="26"/>
        <v>0</v>
      </c>
      <c r="GK70" s="118">
        <f t="shared" si="27"/>
        <v>0</v>
      </c>
      <c r="GL70" s="118">
        <f t="shared" si="28"/>
        <v>0</v>
      </c>
      <c r="GM70" s="118">
        <f t="shared" si="29"/>
        <v>0</v>
      </c>
      <c r="GN70" s="118">
        <f t="shared" si="30"/>
        <v>0</v>
      </c>
      <c r="GO70" s="118">
        <f t="shared" si="31"/>
        <v>0</v>
      </c>
      <c r="GP70" s="118">
        <f t="shared" si="32"/>
        <v>0</v>
      </c>
      <c r="GQ70" s="118">
        <f t="shared" si="33"/>
        <v>0</v>
      </c>
      <c r="GR70" s="118">
        <f t="shared" si="34"/>
        <v>0</v>
      </c>
      <c r="GS70" s="121">
        <f t="shared" si="35"/>
        <v>0</v>
      </c>
      <c r="GT70"/>
      <c r="GU70"/>
      <c r="GV70"/>
      <c r="GW70" s="124"/>
      <c r="GX70" s="118"/>
      <c r="GY70" s="118"/>
      <c r="GZ70" s="118"/>
      <c r="HA70" s="118"/>
      <c r="HB70" s="118"/>
      <c r="HC70" s="118"/>
      <c r="HD70" s="118"/>
      <c r="HE70" s="118"/>
      <c r="HF70" s="118"/>
      <c r="HG70" s="118"/>
      <c r="HH70" s="118"/>
      <c r="HI70" s="118"/>
      <c r="HJ70" s="118"/>
      <c r="HK70" s="118"/>
      <c r="HL70" s="118"/>
    </row>
    <row r="71" spans="1:220" s="74" customFormat="1" ht="30" hidden="1" customHeight="1" x14ac:dyDescent="0.35">
      <c r="A71" s="119">
        <v>62</v>
      </c>
      <c r="B71" s="4"/>
      <c r="C71" s="7"/>
      <c r="D71" s="4"/>
      <c r="E71" s="246"/>
      <c r="F71" s="10"/>
      <c r="G71" s="10"/>
      <c r="H71" s="10"/>
      <c r="I71" s="10"/>
      <c r="J71" s="10"/>
      <c r="K71" s="10"/>
      <c r="L71" s="10"/>
      <c r="M71" s="10"/>
      <c r="N71" s="10"/>
      <c r="O71" s="11"/>
      <c r="P71" s="238"/>
      <c r="Q71" s="14"/>
      <c r="R71" s="10"/>
      <c r="S71" s="10"/>
      <c r="T71" s="10"/>
      <c r="U71" s="10"/>
      <c r="V71" s="10"/>
      <c r="W71" s="10"/>
      <c r="X71" s="10"/>
      <c r="Y71" s="10"/>
      <c r="Z71" s="15"/>
      <c r="AA71" s="238"/>
      <c r="AB71" s="14"/>
      <c r="AC71" s="10"/>
      <c r="AD71" s="10"/>
      <c r="AE71" s="10"/>
      <c r="AF71" s="10"/>
      <c r="AG71" s="10"/>
      <c r="AH71" s="10"/>
      <c r="AI71" s="10"/>
      <c r="AJ71" s="10"/>
      <c r="AK71" s="15"/>
      <c r="AL71" s="238"/>
      <c r="AM71" s="14"/>
      <c r="AN71" s="10"/>
      <c r="AO71" s="10"/>
      <c r="AP71" s="10"/>
      <c r="AQ71" s="10"/>
      <c r="AR71" s="10"/>
      <c r="AS71" s="10"/>
      <c r="AT71" s="10"/>
      <c r="AU71" s="10"/>
      <c r="AV71" s="15"/>
      <c r="AW71" s="238"/>
      <c r="AX71" s="14"/>
      <c r="AY71" s="10"/>
      <c r="AZ71" s="10"/>
      <c r="BA71" s="10"/>
      <c r="BB71" s="10"/>
      <c r="BC71" s="10"/>
      <c r="BD71" s="10"/>
      <c r="BE71" s="10"/>
      <c r="BF71" s="10"/>
      <c r="BG71" s="15"/>
      <c r="BH71" s="238"/>
      <c r="BI71" s="14"/>
      <c r="BJ71" s="10"/>
      <c r="BK71" s="10"/>
      <c r="BL71" s="10"/>
      <c r="BM71" s="10"/>
      <c r="BN71" s="10"/>
      <c r="BO71" s="10"/>
      <c r="BP71" s="10"/>
      <c r="BQ71" s="10"/>
      <c r="BR71" s="15"/>
      <c r="BS71" s="238"/>
      <c r="BT71" s="14"/>
      <c r="BU71" s="10"/>
      <c r="BV71" s="10"/>
      <c r="BW71" s="10"/>
      <c r="BX71" s="10"/>
      <c r="BY71" s="10"/>
      <c r="BZ71" s="10"/>
      <c r="CA71" s="10"/>
      <c r="CB71" s="14"/>
      <c r="CC71" s="10"/>
      <c r="CD71" s="10"/>
      <c r="CE71" s="10"/>
      <c r="CF71" s="10"/>
      <c r="CG71" s="10"/>
      <c r="CH71" s="10"/>
      <c r="CI71" s="238"/>
      <c r="CJ71" s="14"/>
      <c r="CK71" s="10"/>
      <c r="CL71" s="10"/>
      <c r="CM71" s="10"/>
      <c r="CN71" s="10"/>
      <c r="CO71" s="10"/>
      <c r="CP71" s="10"/>
      <c r="CQ71" s="10"/>
      <c r="CR71" s="14"/>
      <c r="CS71" s="10"/>
      <c r="CT71" s="10"/>
      <c r="CU71" s="10"/>
      <c r="CV71" s="10"/>
      <c r="CW71" s="10"/>
      <c r="CX71" s="10"/>
      <c r="CY71" s="238"/>
      <c r="CZ71" s="14"/>
      <c r="DA71" s="10"/>
      <c r="DB71" s="10"/>
      <c r="DC71" s="10"/>
      <c r="DD71" s="10"/>
      <c r="DE71" s="10"/>
      <c r="DF71" s="10"/>
      <c r="DG71" s="10"/>
      <c r="DH71" s="14"/>
      <c r="DI71" s="10"/>
      <c r="DJ71" s="10"/>
      <c r="DK71" s="10"/>
      <c r="DL71" s="10"/>
      <c r="DM71" s="10"/>
      <c r="DN71" s="10"/>
      <c r="DO71" s="238"/>
      <c r="DP71" s="14"/>
      <c r="DQ71" s="10"/>
      <c r="DR71" s="10"/>
      <c r="DS71" s="10"/>
      <c r="DT71" s="10"/>
      <c r="DU71" s="10"/>
      <c r="DV71" s="10"/>
      <c r="DW71" s="10"/>
      <c r="DX71" s="14"/>
      <c r="DY71" s="10"/>
      <c r="DZ71" s="10"/>
      <c r="EA71" s="10"/>
      <c r="EB71" s="10"/>
      <c r="EC71" s="10"/>
      <c r="ED71" s="10"/>
      <c r="EE71" s="238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238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238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238"/>
      <c r="FP71" s="14"/>
      <c r="FQ71" s="14"/>
      <c r="FR71" s="14"/>
      <c r="FS71" s="14"/>
      <c r="FT71" s="14"/>
      <c r="FU71" s="238"/>
      <c r="FV71" s="14"/>
      <c r="FW71" s="14"/>
      <c r="FX71" s="14"/>
      <c r="FY71" s="14"/>
      <c r="FZ71" s="14"/>
      <c r="GA71" s="120"/>
      <c r="GB71" s="122" t="str">
        <f t="shared" si="18"/>
        <v/>
      </c>
      <c r="GC71" s="140" t="str">
        <f t="shared" si="19"/>
        <v/>
      </c>
      <c r="GD71" s="122">
        <f t="shared" si="20"/>
        <v>0</v>
      </c>
      <c r="GE71" s="122">
        <f t="shared" si="21"/>
        <v>0</v>
      </c>
      <c r="GF71" s="122">
        <f t="shared" si="22"/>
        <v>0</v>
      </c>
      <c r="GG71" s="122">
        <f t="shared" si="23"/>
        <v>0</v>
      </c>
      <c r="GH71" s="122">
        <f t="shared" si="24"/>
        <v>0</v>
      </c>
      <c r="GI71" s="122">
        <f t="shared" si="25"/>
        <v>0</v>
      </c>
      <c r="GJ71" s="122">
        <f t="shared" si="26"/>
        <v>0</v>
      </c>
      <c r="GK71" s="122">
        <f t="shared" si="27"/>
        <v>0</v>
      </c>
      <c r="GL71" s="122">
        <f t="shared" si="28"/>
        <v>0</v>
      </c>
      <c r="GM71" s="122">
        <f t="shared" si="29"/>
        <v>0</v>
      </c>
      <c r="GN71" s="122">
        <f t="shared" si="30"/>
        <v>0</v>
      </c>
      <c r="GO71" s="122">
        <f t="shared" si="31"/>
        <v>0</v>
      </c>
      <c r="GP71" s="122">
        <f t="shared" si="32"/>
        <v>0</v>
      </c>
      <c r="GQ71" s="122">
        <f t="shared" si="33"/>
        <v>0</v>
      </c>
      <c r="GR71" s="122">
        <f t="shared" si="34"/>
        <v>0</v>
      </c>
      <c r="GS71" s="123">
        <f t="shared" si="35"/>
        <v>0</v>
      </c>
      <c r="GT71"/>
      <c r="GU71"/>
      <c r="GV71"/>
      <c r="GW71" s="124"/>
      <c r="GX71" s="118"/>
      <c r="GY71" s="118"/>
      <c r="GZ71" s="118"/>
      <c r="HA71" s="118"/>
      <c r="HB71" s="118"/>
      <c r="HC71" s="118"/>
      <c r="HD71" s="118"/>
      <c r="HE71" s="118"/>
      <c r="HF71" s="118"/>
      <c r="HG71" s="118"/>
      <c r="HH71" s="118"/>
      <c r="HI71" s="118"/>
      <c r="HJ71" s="118"/>
      <c r="HK71" s="118"/>
      <c r="HL71" s="118"/>
    </row>
    <row r="72" spans="1:220" s="74" customFormat="1" ht="30" hidden="1" customHeight="1" x14ac:dyDescent="0.35">
      <c r="A72" s="119">
        <v>63</v>
      </c>
      <c r="B72" s="3"/>
      <c r="C72" s="6"/>
      <c r="D72" s="3"/>
      <c r="E72" s="246"/>
      <c r="F72" s="8"/>
      <c r="G72" s="8"/>
      <c r="H72" s="8"/>
      <c r="I72" s="8"/>
      <c r="J72" s="8"/>
      <c r="K72" s="8"/>
      <c r="L72" s="8"/>
      <c r="M72" s="8"/>
      <c r="N72" s="8"/>
      <c r="O72" s="9"/>
      <c r="P72" s="238"/>
      <c r="Q72" s="12"/>
      <c r="R72" s="8"/>
      <c r="S72" s="8"/>
      <c r="T72" s="8"/>
      <c r="U72" s="8"/>
      <c r="V72" s="8"/>
      <c r="W72" s="8"/>
      <c r="X72" s="8"/>
      <c r="Y72" s="8"/>
      <c r="Z72" s="13"/>
      <c r="AA72" s="238"/>
      <c r="AB72" s="12"/>
      <c r="AC72" s="8"/>
      <c r="AD72" s="8"/>
      <c r="AE72" s="8"/>
      <c r="AF72" s="8"/>
      <c r="AG72" s="8"/>
      <c r="AH72" s="8"/>
      <c r="AI72" s="8"/>
      <c r="AJ72" s="8"/>
      <c r="AK72" s="13"/>
      <c r="AL72" s="238"/>
      <c r="AM72" s="12"/>
      <c r="AN72" s="8"/>
      <c r="AO72" s="8"/>
      <c r="AP72" s="8"/>
      <c r="AQ72" s="8"/>
      <c r="AR72" s="8"/>
      <c r="AS72" s="8"/>
      <c r="AT72" s="8"/>
      <c r="AU72" s="8"/>
      <c r="AV72" s="13"/>
      <c r="AW72" s="238"/>
      <c r="AX72" s="12"/>
      <c r="AY72" s="8"/>
      <c r="AZ72" s="8"/>
      <c r="BA72" s="8"/>
      <c r="BB72" s="8"/>
      <c r="BC72" s="8"/>
      <c r="BD72" s="8"/>
      <c r="BE72" s="8"/>
      <c r="BF72" s="8"/>
      <c r="BG72" s="13"/>
      <c r="BH72" s="238"/>
      <c r="BI72" s="12"/>
      <c r="BJ72" s="8"/>
      <c r="BK72" s="8"/>
      <c r="BL72" s="8"/>
      <c r="BM72" s="8"/>
      <c r="BN72" s="8"/>
      <c r="BO72" s="8"/>
      <c r="BP72" s="8"/>
      <c r="BQ72" s="8"/>
      <c r="BR72" s="13"/>
      <c r="BS72" s="238"/>
      <c r="BT72" s="12"/>
      <c r="BU72" s="8"/>
      <c r="BV72" s="8"/>
      <c r="BW72" s="8"/>
      <c r="BX72" s="8"/>
      <c r="BY72" s="8"/>
      <c r="BZ72" s="8"/>
      <c r="CA72" s="8"/>
      <c r="CB72" s="12"/>
      <c r="CC72" s="8"/>
      <c r="CD72" s="8"/>
      <c r="CE72" s="8"/>
      <c r="CF72" s="8"/>
      <c r="CG72" s="8"/>
      <c r="CH72" s="8"/>
      <c r="CI72" s="238"/>
      <c r="CJ72" s="12"/>
      <c r="CK72" s="8"/>
      <c r="CL72" s="8"/>
      <c r="CM72" s="8"/>
      <c r="CN72" s="8"/>
      <c r="CO72" s="8"/>
      <c r="CP72" s="8"/>
      <c r="CQ72" s="8"/>
      <c r="CR72" s="12"/>
      <c r="CS72" s="8"/>
      <c r="CT72" s="8"/>
      <c r="CU72" s="8"/>
      <c r="CV72" s="8"/>
      <c r="CW72" s="8"/>
      <c r="CX72" s="8"/>
      <c r="CY72" s="238"/>
      <c r="CZ72" s="12"/>
      <c r="DA72" s="8"/>
      <c r="DB72" s="8"/>
      <c r="DC72" s="8"/>
      <c r="DD72" s="8"/>
      <c r="DE72" s="8"/>
      <c r="DF72" s="8"/>
      <c r="DG72" s="8"/>
      <c r="DH72" s="12"/>
      <c r="DI72" s="8"/>
      <c r="DJ72" s="8"/>
      <c r="DK72" s="8"/>
      <c r="DL72" s="8"/>
      <c r="DM72" s="8"/>
      <c r="DN72" s="8"/>
      <c r="DO72" s="238"/>
      <c r="DP72" s="12"/>
      <c r="DQ72" s="8"/>
      <c r="DR72" s="8"/>
      <c r="DS72" s="8"/>
      <c r="DT72" s="8"/>
      <c r="DU72" s="8"/>
      <c r="DV72" s="8"/>
      <c r="DW72" s="8"/>
      <c r="DX72" s="12"/>
      <c r="DY72" s="8"/>
      <c r="DZ72" s="8"/>
      <c r="EA72" s="8"/>
      <c r="EB72" s="8"/>
      <c r="EC72" s="8"/>
      <c r="ED72" s="8"/>
      <c r="EE72" s="238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238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238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238"/>
      <c r="FP72" s="12"/>
      <c r="FQ72" s="12"/>
      <c r="FR72" s="12"/>
      <c r="FS72" s="12"/>
      <c r="FT72" s="12"/>
      <c r="FU72" s="238"/>
      <c r="FV72" s="12"/>
      <c r="FW72" s="12"/>
      <c r="FX72" s="12"/>
      <c r="FY72" s="12"/>
      <c r="FZ72" s="12"/>
      <c r="GA72" s="120"/>
      <c r="GB72" s="118" t="str">
        <f t="shared" si="18"/>
        <v/>
      </c>
      <c r="GC72" s="139" t="str">
        <f t="shared" si="19"/>
        <v/>
      </c>
      <c r="GD72" s="118">
        <f t="shared" si="20"/>
        <v>0</v>
      </c>
      <c r="GE72" s="118">
        <f t="shared" si="21"/>
        <v>0</v>
      </c>
      <c r="GF72" s="118">
        <f t="shared" si="22"/>
        <v>0</v>
      </c>
      <c r="GG72" s="118">
        <f t="shared" si="23"/>
        <v>0</v>
      </c>
      <c r="GH72" s="118">
        <f t="shared" si="24"/>
        <v>0</v>
      </c>
      <c r="GI72" s="118">
        <f t="shared" si="25"/>
        <v>0</v>
      </c>
      <c r="GJ72" s="118">
        <f t="shared" si="26"/>
        <v>0</v>
      </c>
      <c r="GK72" s="118">
        <f t="shared" si="27"/>
        <v>0</v>
      </c>
      <c r="GL72" s="118">
        <f t="shared" si="28"/>
        <v>0</v>
      </c>
      <c r="GM72" s="118">
        <f t="shared" si="29"/>
        <v>0</v>
      </c>
      <c r="GN72" s="118">
        <f t="shared" si="30"/>
        <v>0</v>
      </c>
      <c r="GO72" s="118">
        <f t="shared" si="31"/>
        <v>0</v>
      </c>
      <c r="GP72" s="118">
        <f t="shared" si="32"/>
        <v>0</v>
      </c>
      <c r="GQ72" s="118">
        <f t="shared" si="33"/>
        <v>0</v>
      </c>
      <c r="GR72" s="118">
        <f t="shared" si="34"/>
        <v>0</v>
      </c>
      <c r="GS72" s="121">
        <f t="shared" si="35"/>
        <v>0</v>
      </c>
      <c r="GT72"/>
      <c r="GU72"/>
      <c r="GV72"/>
      <c r="GW72" s="124"/>
      <c r="GX72" s="118"/>
      <c r="GY72" s="118"/>
      <c r="GZ72" s="118"/>
      <c r="HA72" s="118"/>
      <c r="HB72" s="118"/>
      <c r="HC72" s="118"/>
      <c r="HD72" s="118"/>
      <c r="HE72" s="118"/>
      <c r="HF72" s="118"/>
      <c r="HG72" s="118"/>
      <c r="HH72" s="118"/>
      <c r="HI72" s="118"/>
      <c r="HJ72" s="118"/>
      <c r="HK72" s="118"/>
      <c r="HL72" s="118"/>
    </row>
    <row r="73" spans="1:220" s="74" customFormat="1" ht="30" hidden="1" customHeight="1" x14ac:dyDescent="0.35">
      <c r="A73" s="119">
        <v>64</v>
      </c>
      <c r="B73" s="4"/>
      <c r="C73" s="7"/>
      <c r="D73" s="4"/>
      <c r="E73" s="246"/>
      <c r="F73" s="10"/>
      <c r="G73" s="10"/>
      <c r="H73" s="10"/>
      <c r="I73" s="10"/>
      <c r="J73" s="10"/>
      <c r="K73" s="10"/>
      <c r="L73" s="10"/>
      <c r="M73" s="10"/>
      <c r="N73" s="10"/>
      <c r="O73" s="11"/>
      <c r="P73" s="238"/>
      <c r="Q73" s="14"/>
      <c r="R73" s="10"/>
      <c r="S73" s="10"/>
      <c r="T73" s="10"/>
      <c r="U73" s="10"/>
      <c r="V73" s="10"/>
      <c r="W73" s="10"/>
      <c r="X73" s="10"/>
      <c r="Y73" s="10"/>
      <c r="Z73" s="15"/>
      <c r="AA73" s="238"/>
      <c r="AB73" s="14"/>
      <c r="AC73" s="10"/>
      <c r="AD73" s="10"/>
      <c r="AE73" s="10"/>
      <c r="AF73" s="10"/>
      <c r="AG73" s="10"/>
      <c r="AH73" s="10"/>
      <c r="AI73" s="10"/>
      <c r="AJ73" s="10"/>
      <c r="AK73" s="15"/>
      <c r="AL73" s="238"/>
      <c r="AM73" s="14"/>
      <c r="AN73" s="10"/>
      <c r="AO73" s="10"/>
      <c r="AP73" s="10"/>
      <c r="AQ73" s="10"/>
      <c r="AR73" s="10"/>
      <c r="AS73" s="10"/>
      <c r="AT73" s="10"/>
      <c r="AU73" s="10"/>
      <c r="AV73" s="15"/>
      <c r="AW73" s="238"/>
      <c r="AX73" s="14"/>
      <c r="AY73" s="10"/>
      <c r="AZ73" s="10"/>
      <c r="BA73" s="10"/>
      <c r="BB73" s="10"/>
      <c r="BC73" s="10"/>
      <c r="BD73" s="10"/>
      <c r="BE73" s="10"/>
      <c r="BF73" s="10"/>
      <c r="BG73" s="15"/>
      <c r="BH73" s="238"/>
      <c r="BI73" s="14"/>
      <c r="BJ73" s="10"/>
      <c r="BK73" s="10"/>
      <c r="BL73" s="10"/>
      <c r="BM73" s="10"/>
      <c r="BN73" s="10"/>
      <c r="BO73" s="10"/>
      <c r="BP73" s="10"/>
      <c r="BQ73" s="10"/>
      <c r="BR73" s="15"/>
      <c r="BS73" s="238"/>
      <c r="BT73" s="14"/>
      <c r="BU73" s="10"/>
      <c r="BV73" s="10"/>
      <c r="BW73" s="10"/>
      <c r="BX73" s="10"/>
      <c r="BY73" s="10"/>
      <c r="BZ73" s="10"/>
      <c r="CA73" s="10"/>
      <c r="CB73" s="14"/>
      <c r="CC73" s="10"/>
      <c r="CD73" s="10"/>
      <c r="CE73" s="10"/>
      <c r="CF73" s="10"/>
      <c r="CG73" s="10"/>
      <c r="CH73" s="10"/>
      <c r="CI73" s="238"/>
      <c r="CJ73" s="14"/>
      <c r="CK73" s="10"/>
      <c r="CL73" s="10"/>
      <c r="CM73" s="10"/>
      <c r="CN73" s="10"/>
      <c r="CO73" s="10"/>
      <c r="CP73" s="10"/>
      <c r="CQ73" s="10"/>
      <c r="CR73" s="14"/>
      <c r="CS73" s="10"/>
      <c r="CT73" s="10"/>
      <c r="CU73" s="10"/>
      <c r="CV73" s="10"/>
      <c r="CW73" s="10"/>
      <c r="CX73" s="10"/>
      <c r="CY73" s="238"/>
      <c r="CZ73" s="14"/>
      <c r="DA73" s="10"/>
      <c r="DB73" s="10"/>
      <c r="DC73" s="10"/>
      <c r="DD73" s="10"/>
      <c r="DE73" s="10"/>
      <c r="DF73" s="10"/>
      <c r="DG73" s="10"/>
      <c r="DH73" s="14"/>
      <c r="DI73" s="10"/>
      <c r="DJ73" s="10"/>
      <c r="DK73" s="10"/>
      <c r="DL73" s="10"/>
      <c r="DM73" s="10"/>
      <c r="DN73" s="10"/>
      <c r="DO73" s="238"/>
      <c r="DP73" s="14"/>
      <c r="DQ73" s="10"/>
      <c r="DR73" s="10"/>
      <c r="DS73" s="10"/>
      <c r="DT73" s="10"/>
      <c r="DU73" s="10"/>
      <c r="DV73" s="10"/>
      <c r="DW73" s="10"/>
      <c r="DX73" s="14"/>
      <c r="DY73" s="10"/>
      <c r="DZ73" s="10"/>
      <c r="EA73" s="10"/>
      <c r="EB73" s="10"/>
      <c r="EC73" s="10"/>
      <c r="ED73" s="10"/>
      <c r="EE73" s="238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238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238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238"/>
      <c r="FP73" s="14"/>
      <c r="FQ73" s="14"/>
      <c r="FR73" s="14"/>
      <c r="FS73" s="14"/>
      <c r="FT73" s="14"/>
      <c r="FU73" s="238"/>
      <c r="FV73" s="14"/>
      <c r="FW73" s="14"/>
      <c r="FX73" s="14"/>
      <c r="FY73" s="14"/>
      <c r="FZ73" s="14"/>
      <c r="GA73" s="120"/>
      <c r="GB73" s="122" t="str">
        <f t="shared" si="18"/>
        <v/>
      </c>
      <c r="GC73" s="140" t="str">
        <f t="shared" si="19"/>
        <v/>
      </c>
      <c r="GD73" s="122">
        <f t="shared" si="20"/>
        <v>0</v>
      </c>
      <c r="GE73" s="122">
        <f t="shared" si="21"/>
        <v>0</v>
      </c>
      <c r="GF73" s="122">
        <f t="shared" si="22"/>
        <v>0</v>
      </c>
      <c r="GG73" s="122">
        <f t="shared" si="23"/>
        <v>0</v>
      </c>
      <c r="GH73" s="122">
        <f t="shared" si="24"/>
        <v>0</v>
      </c>
      <c r="GI73" s="122">
        <f t="shared" si="25"/>
        <v>0</v>
      </c>
      <c r="GJ73" s="122">
        <f t="shared" si="26"/>
        <v>0</v>
      </c>
      <c r="GK73" s="122">
        <f t="shared" si="27"/>
        <v>0</v>
      </c>
      <c r="GL73" s="122">
        <f t="shared" si="28"/>
        <v>0</v>
      </c>
      <c r="GM73" s="122">
        <f t="shared" si="29"/>
        <v>0</v>
      </c>
      <c r="GN73" s="122">
        <f t="shared" si="30"/>
        <v>0</v>
      </c>
      <c r="GO73" s="122">
        <f t="shared" si="31"/>
        <v>0</v>
      </c>
      <c r="GP73" s="122">
        <f t="shared" si="32"/>
        <v>0</v>
      </c>
      <c r="GQ73" s="122">
        <f t="shared" si="33"/>
        <v>0</v>
      </c>
      <c r="GR73" s="122">
        <f t="shared" si="34"/>
        <v>0</v>
      </c>
      <c r="GS73" s="123">
        <f t="shared" si="35"/>
        <v>0</v>
      </c>
      <c r="GT73"/>
      <c r="GU73"/>
      <c r="GV73"/>
      <c r="GW73" s="124"/>
      <c r="GX73" s="118"/>
      <c r="GY73" s="118"/>
      <c r="GZ73" s="118"/>
      <c r="HA73" s="118"/>
      <c r="HB73" s="118"/>
      <c r="HC73" s="118"/>
      <c r="HD73" s="118"/>
      <c r="HE73" s="118"/>
      <c r="HF73" s="118"/>
      <c r="HG73" s="118"/>
      <c r="HH73" s="118"/>
      <c r="HI73" s="118"/>
      <c r="HJ73" s="118"/>
      <c r="HK73" s="118"/>
      <c r="HL73" s="118"/>
    </row>
    <row r="74" spans="1:220" s="74" customFormat="1" ht="30" hidden="1" customHeight="1" x14ac:dyDescent="0.35">
      <c r="A74" s="119">
        <v>65</v>
      </c>
      <c r="B74" s="3"/>
      <c r="C74" s="6"/>
      <c r="D74" s="3"/>
      <c r="E74" s="246"/>
      <c r="F74" s="8"/>
      <c r="G74" s="8"/>
      <c r="H74" s="8"/>
      <c r="I74" s="8"/>
      <c r="J74" s="8"/>
      <c r="K74" s="8"/>
      <c r="L74" s="8"/>
      <c r="M74" s="8"/>
      <c r="N74" s="8"/>
      <c r="O74" s="9"/>
      <c r="P74" s="238"/>
      <c r="Q74" s="12"/>
      <c r="R74" s="8"/>
      <c r="S74" s="8"/>
      <c r="T74" s="8"/>
      <c r="U74" s="8"/>
      <c r="V74" s="8"/>
      <c r="W74" s="8"/>
      <c r="X74" s="8"/>
      <c r="Y74" s="8"/>
      <c r="Z74" s="13"/>
      <c r="AA74" s="238"/>
      <c r="AB74" s="12"/>
      <c r="AC74" s="8"/>
      <c r="AD74" s="8"/>
      <c r="AE74" s="8"/>
      <c r="AF74" s="8"/>
      <c r="AG74" s="8"/>
      <c r="AH74" s="8"/>
      <c r="AI74" s="8"/>
      <c r="AJ74" s="8"/>
      <c r="AK74" s="13"/>
      <c r="AL74" s="238"/>
      <c r="AM74" s="12"/>
      <c r="AN74" s="8"/>
      <c r="AO74" s="8"/>
      <c r="AP74" s="8"/>
      <c r="AQ74" s="8"/>
      <c r="AR74" s="8"/>
      <c r="AS74" s="8"/>
      <c r="AT74" s="8"/>
      <c r="AU74" s="8"/>
      <c r="AV74" s="13"/>
      <c r="AW74" s="238"/>
      <c r="AX74" s="12"/>
      <c r="AY74" s="8"/>
      <c r="AZ74" s="8"/>
      <c r="BA74" s="8"/>
      <c r="BB74" s="8"/>
      <c r="BC74" s="8"/>
      <c r="BD74" s="8"/>
      <c r="BE74" s="8"/>
      <c r="BF74" s="8"/>
      <c r="BG74" s="13"/>
      <c r="BH74" s="238"/>
      <c r="BI74" s="12"/>
      <c r="BJ74" s="8"/>
      <c r="BK74" s="8"/>
      <c r="BL74" s="8"/>
      <c r="BM74" s="8"/>
      <c r="BN74" s="8"/>
      <c r="BO74" s="8"/>
      <c r="BP74" s="8"/>
      <c r="BQ74" s="8"/>
      <c r="BR74" s="13"/>
      <c r="BS74" s="238"/>
      <c r="BT74" s="12"/>
      <c r="BU74" s="8"/>
      <c r="BV74" s="8"/>
      <c r="BW74" s="8"/>
      <c r="BX74" s="8"/>
      <c r="BY74" s="8"/>
      <c r="BZ74" s="8"/>
      <c r="CA74" s="8"/>
      <c r="CB74" s="12"/>
      <c r="CC74" s="8"/>
      <c r="CD74" s="8"/>
      <c r="CE74" s="8"/>
      <c r="CF74" s="8"/>
      <c r="CG74" s="8"/>
      <c r="CH74" s="8"/>
      <c r="CI74" s="238"/>
      <c r="CJ74" s="12"/>
      <c r="CK74" s="8"/>
      <c r="CL74" s="8"/>
      <c r="CM74" s="8"/>
      <c r="CN74" s="8"/>
      <c r="CO74" s="8"/>
      <c r="CP74" s="8"/>
      <c r="CQ74" s="8"/>
      <c r="CR74" s="12"/>
      <c r="CS74" s="8"/>
      <c r="CT74" s="8"/>
      <c r="CU74" s="8"/>
      <c r="CV74" s="8"/>
      <c r="CW74" s="8"/>
      <c r="CX74" s="8"/>
      <c r="CY74" s="238"/>
      <c r="CZ74" s="12"/>
      <c r="DA74" s="8"/>
      <c r="DB74" s="8"/>
      <c r="DC74" s="8"/>
      <c r="DD74" s="8"/>
      <c r="DE74" s="8"/>
      <c r="DF74" s="8"/>
      <c r="DG74" s="8"/>
      <c r="DH74" s="12"/>
      <c r="DI74" s="8"/>
      <c r="DJ74" s="8"/>
      <c r="DK74" s="8"/>
      <c r="DL74" s="8"/>
      <c r="DM74" s="8"/>
      <c r="DN74" s="8"/>
      <c r="DO74" s="238"/>
      <c r="DP74" s="12"/>
      <c r="DQ74" s="8"/>
      <c r="DR74" s="8"/>
      <c r="DS74" s="8"/>
      <c r="DT74" s="8"/>
      <c r="DU74" s="8"/>
      <c r="DV74" s="8"/>
      <c r="DW74" s="8"/>
      <c r="DX74" s="12"/>
      <c r="DY74" s="8"/>
      <c r="DZ74" s="8"/>
      <c r="EA74" s="8"/>
      <c r="EB74" s="8"/>
      <c r="EC74" s="8"/>
      <c r="ED74" s="8"/>
      <c r="EE74" s="238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238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238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238"/>
      <c r="FP74" s="12"/>
      <c r="FQ74" s="12"/>
      <c r="FR74" s="12"/>
      <c r="FS74" s="12"/>
      <c r="FT74" s="12"/>
      <c r="FU74" s="238"/>
      <c r="FV74" s="12"/>
      <c r="FW74" s="12"/>
      <c r="FX74" s="12"/>
      <c r="FY74" s="12"/>
      <c r="FZ74" s="12"/>
      <c r="GA74" s="120"/>
      <c r="GB74" s="118" t="str">
        <f t="shared" ref="GB74:GB105" si="36">IF(B74="","",B74)</f>
        <v/>
      </c>
      <c r="GC74" s="139" t="str">
        <f t="shared" ref="GC74:GC105" si="37">IF(C74="","",C74)</f>
        <v/>
      </c>
      <c r="GD74" s="118">
        <f t="shared" ref="GD74:GD105" si="38">SUM(F74:O74)</f>
        <v>0</v>
      </c>
      <c r="GE74" s="118">
        <f t="shared" ref="GE74:GE105" si="39">SUM(Q74:Z74)</f>
        <v>0</v>
      </c>
      <c r="GF74" s="118">
        <f t="shared" ref="GF74:GF105" si="40">SUM(AB74:AK74)</f>
        <v>0</v>
      </c>
      <c r="GG74" s="118">
        <f t="shared" ref="GG74:GG105" si="41">SUM(AM74:AV74)</f>
        <v>0</v>
      </c>
      <c r="GH74" s="118">
        <f t="shared" ref="GH74:GH105" si="42">SUM(AX74:BG74)</f>
        <v>0</v>
      </c>
      <c r="GI74" s="118">
        <f t="shared" ref="GI74:GI105" si="43">SUM(BI74:BR74)</f>
        <v>0</v>
      </c>
      <c r="GJ74" s="118">
        <f t="shared" ref="GJ74:GJ105" si="44">SUM(BT74:CH74)</f>
        <v>0</v>
      </c>
      <c r="GK74" s="118">
        <f t="shared" ref="GK74:GK105" si="45">SUM(CJ74:CX74)</f>
        <v>0</v>
      </c>
      <c r="GL74" s="118">
        <f t="shared" ref="GL74:GL105" si="46">SUM(CZ74:DN74)</f>
        <v>0</v>
      </c>
      <c r="GM74" s="118">
        <f t="shared" ref="GM74:GM105" si="47">SUM(DP74:ED74)</f>
        <v>0</v>
      </c>
      <c r="GN74" s="118">
        <f t="shared" ref="GN74:GN105" si="48">SUM(EF74:EP74)</f>
        <v>0</v>
      </c>
      <c r="GO74" s="118">
        <f t="shared" ref="GO74:GO105" si="49">SUM(ER74:FB74)</f>
        <v>0</v>
      </c>
      <c r="GP74" s="118">
        <f t="shared" ref="GP74:GP105" si="50">SUM(FD74:FN74)</f>
        <v>0</v>
      </c>
      <c r="GQ74" s="118">
        <f t="shared" ref="GQ74:GQ105" si="51">SUM(FP74:FT74)</f>
        <v>0</v>
      </c>
      <c r="GR74" s="118">
        <f t="shared" ref="GR74:GR105" si="52">SUM(FV74:FZ74)</f>
        <v>0</v>
      </c>
      <c r="GS74" s="121">
        <f t="shared" ref="GS74:GS105" si="53">SUM(GD74:GR74)</f>
        <v>0</v>
      </c>
      <c r="GT74"/>
      <c r="GU74"/>
      <c r="GV74"/>
      <c r="GW74" s="124"/>
      <c r="GX74" s="118"/>
      <c r="GY74" s="118"/>
      <c r="GZ74" s="118"/>
      <c r="HA74" s="118"/>
      <c r="HB74" s="118"/>
      <c r="HC74" s="118"/>
      <c r="HD74" s="118"/>
      <c r="HE74" s="118"/>
      <c r="HF74" s="118"/>
      <c r="HG74" s="118"/>
      <c r="HH74" s="118"/>
      <c r="HI74" s="118"/>
      <c r="HJ74" s="118"/>
      <c r="HK74" s="118"/>
      <c r="HL74" s="118"/>
    </row>
    <row r="75" spans="1:220" s="74" customFormat="1" ht="30" hidden="1" customHeight="1" x14ac:dyDescent="0.35">
      <c r="A75" s="119">
        <v>66</v>
      </c>
      <c r="B75" s="4"/>
      <c r="C75" s="7"/>
      <c r="D75" s="4"/>
      <c r="E75" s="246"/>
      <c r="F75" s="10"/>
      <c r="G75" s="10"/>
      <c r="H75" s="10"/>
      <c r="I75" s="10"/>
      <c r="J75" s="10"/>
      <c r="K75" s="10"/>
      <c r="L75" s="10"/>
      <c r="M75" s="10"/>
      <c r="N75" s="10"/>
      <c r="O75" s="11"/>
      <c r="P75" s="238"/>
      <c r="Q75" s="14"/>
      <c r="R75" s="10"/>
      <c r="S75" s="10"/>
      <c r="T75" s="10"/>
      <c r="U75" s="10"/>
      <c r="V75" s="10"/>
      <c r="W75" s="10"/>
      <c r="X75" s="10"/>
      <c r="Y75" s="10"/>
      <c r="Z75" s="15"/>
      <c r="AA75" s="238"/>
      <c r="AB75" s="14"/>
      <c r="AC75" s="10"/>
      <c r="AD75" s="10"/>
      <c r="AE75" s="10"/>
      <c r="AF75" s="10"/>
      <c r="AG75" s="10"/>
      <c r="AH75" s="10"/>
      <c r="AI75" s="10"/>
      <c r="AJ75" s="10"/>
      <c r="AK75" s="15"/>
      <c r="AL75" s="238"/>
      <c r="AM75" s="14"/>
      <c r="AN75" s="10"/>
      <c r="AO75" s="10"/>
      <c r="AP75" s="10"/>
      <c r="AQ75" s="10"/>
      <c r="AR75" s="10"/>
      <c r="AS75" s="10"/>
      <c r="AT75" s="10"/>
      <c r="AU75" s="10"/>
      <c r="AV75" s="15"/>
      <c r="AW75" s="238"/>
      <c r="AX75" s="14"/>
      <c r="AY75" s="10"/>
      <c r="AZ75" s="10"/>
      <c r="BA75" s="10"/>
      <c r="BB75" s="10"/>
      <c r="BC75" s="10"/>
      <c r="BD75" s="10"/>
      <c r="BE75" s="10"/>
      <c r="BF75" s="10"/>
      <c r="BG75" s="15"/>
      <c r="BH75" s="238"/>
      <c r="BI75" s="14"/>
      <c r="BJ75" s="10"/>
      <c r="BK75" s="10"/>
      <c r="BL75" s="10"/>
      <c r="BM75" s="10"/>
      <c r="BN75" s="10"/>
      <c r="BO75" s="10"/>
      <c r="BP75" s="10"/>
      <c r="BQ75" s="10"/>
      <c r="BR75" s="15"/>
      <c r="BS75" s="238"/>
      <c r="BT75" s="14"/>
      <c r="BU75" s="10"/>
      <c r="BV75" s="10"/>
      <c r="BW75" s="10"/>
      <c r="BX75" s="10"/>
      <c r="BY75" s="10"/>
      <c r="BZ75" s="10"/>
      <c r="CA75" s="10"/>
      <c r="CB75" s="14"/>
      <c r="CC75" s="10"/>
      <c r="CD75" s="10"/>
      <c r="CE75" s="10"/>
      <c r="CF75" s="10"/>
      <c r="CG75" s="10"/>
      <c r="CH75" s="10"/>
      <c r="CI75" s="238"/>
      <c r="CJ75" s="14"/>
      <c r="CK75" s="10"/>
      <c r="CL75" s="10"/>
      <c r="CM75" s="10"/>
      <c r="CN75" s="10"/>
      <c r="CO75" s="10"/>
      <c r="CP75" s="10"/>
      <c r="CQ75" s="10"/>
      <c r="CR75" s="14"/>
      <c r="CS75" s="10"/>
      <c r="CT75" s="10"/>
      <c r="CU75" s="10"/>
      <c r="CV75" s="10"/>
      <c r="CW75" s="10"/>
      <c r="CX75" s="10"/>
      <c r="CY75" s="238"/>
      <c r="CZ75" s="14"/>
      <c r="DA75" s="10"/>
      <c r="DB75" s="10"/>
      <c r="DC75" s="10"/>
      <c r="DD75" s="10"/>
      <c r="DE75" s="10"/>
      <c r="DF75" s="10"/>
      <c r="DG75" s="10"/>
      <c r="DH75" s="14"/>
      <c r="DI75" s="10"/>
      <c r="DJ75" s="10"/>
      <c r="DK75" s="10"/>
      <c r="DL75" s="10"/>
      <c r="DM75" s="10"/>
      <c r="DN75" s="10"/>
      <c r="DO75" s="238"/>
      <c r="DP75" s="14"/>
      <c r="DQ75" s="10"/>
      <c r="DR75" s="10"/>
      <c r="DS75" s="10"/>
      <c r="DT75" s="10"/>
      <c r="DU75" s="10"/>
      <c r="DV75" s="10"/>
      <c r="DW75" s="10"/>
      <c r="DX75" s="14"/>
      <c r="DY75" s="10"/>
      <c r="DZ75" s="10"/>
      <c r="EA75" s="10"/>
      <c r="EB75" s="10"/>
      <c r="EC75" s="10"/>
      <c r="ED75" s="10"/>
      <c r="EE75" s="238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238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238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238"/>
      <c r="FP75" s="14"/>
      <c r="FQ75" s="14"/>
      <c r="FR75" s="14"/>
      <c r="FS75" s="14"/>
      <c r="FT75" s="14"/>
      <c r="FU75" s="238"/>
      <c r="FV75" s="14"/>
      <c r="FW75" s="14"/>
      <c r="FX75" s="14"/>
      <c r="FY75" s="14"/>
      <c r="FZ75" s="14"/>
      <c r="GA75" s="120"/>
      <c r="GB75" s="122" t="str">
        <f t="shared" si="36"/>
        <v/>
      </c>
      <c r="GC75" s="140" t="str">
        <f t="shared" si="37"/>
        <v/>
      </c>
      <c r="GD75" s="122">
        <f t="shared" si="38"/>
        <v>0</v>
      </c>
      <c r="GE75" s="122">
        <f t="shared" si="39"/>
        <v>0</v>
      </c>
      <c r="GF75" s="122">
        <f t="shared" si="40"/>
        <v>0</v>
      </c>
      <c r="GG75" s="122">
        <f t="shared" si="41"/>
        <v>0</v>
      </c>
      <c r="GH75" s="122">
        <f t="shared" si="42"/>
        <v>0</v>
      </c>
      <c r="GI75" s="122">
        <f t="shared" si="43"/>
        <v>0</v>
      </c>
      <c r="GJ75" s="122">
        <f t="shared" si="44"/>
        <v>0</v>
      </c>
      <c r="GK75" s="122">
        <f t="shared" si="45"/>
        <v>0</v>
      </c>
      <c r="GL75" s="122">
        <f t="shared" si="46"/>
        <v>0</v>
      </c>
      <c r="GM75" s="122">
        <f t="shared" si="47"/>
        <v>0</v>
      </c>
      <c r="GN75" s="122">
        <f t="shared" si="48"/>
        <v>0</v>
      </c>
      <c r="GO75" s="122">
        <f t="shared" si="49"/>
        <v>0</v>
      </c>
      <c r="GP75" s="122">
        <f t="shared" si="50"/>
        <v>0</v>
      </c>
      <c r="GQ75" s="122">
        <f t="shared" si="51"/>
        <v>0</v>
      </c>
      <c r="GR75" s="122">
        <f t="shared" si="52"/>
        <v>0</v>
      </c>
      <c r="GS75" s="123">
        <f t="shared" si="53"/>
        <v>0</v>
      </c>
      <c r="GT75"/>
      <c r="GU75"/>
      <c r="GV75"/>
      <c r="GW75" s="124"/>
      <c r="GX75" s="118"/>
      <c r="GY75" s="118"/>
      <c r="GZ75" s="118"/>
      <c r="HA75" s="118"/>
      <c r="HB75" s="118"/>
      <c r="HC75" s="118"/>
      <c r="HD75" s="118"/>
      <c r="HE75" s="118"/>
      <c r="HF75" s="118"/>
      <c r="HG75" s="118"/>
      <c r="HH75" s="118"/>
      <c r="HI75" s="118"/>
      <c r="HJ75" s="118"/>
      <c r="HK75" s="118"/>
      <c r="HL75" s="118"/>
    </row>
    <row r="76" spans="1:220" s="74" customFormat="1" ht="30" hidden="1" customHeight="1" x14ac:dyDescent="0.35">
      <c r="A76" s="119">
        <v>67</v>
      </c>
      <c r="B76" s="3"/>
      <c r="C76" s="6"/>
      <c r="D76" s="3"/>
      <c r="E76" s="246"/>
      <c r="F76" s="8"/>
      <c r="G76" s="8"/>
      <c r="H76" s="8"/>
      <c r="I76" s="8"/>
      <c r="J76" s="8"/>
      <c r="K76" s="8"/>
      <c r="L76" s="8"/>
      <c r="M76" s="8"/>
      <c r="N76" s="8"/>
      <c r="O76" s="9"/>
      <c r="P76" s="238"/>
      <c r="Q76" s="12"/>
      <c r="R76" s="8"/>
      <c r="S76" s="8"/>
      <c r="T76" s="8"/>
      <c r="U76" s="8"/>
      <c r="V76" s="8"/>
      <c r="W76" s="8"/>
      <c r="X76" s="8"/>
      <c r="Y76" s="8"/>
      <c r="Z76" s="13"/>
      <c r="AA76" s="238"/>
      <c r="AB76" s="12"/>
      <c r="AC76" s="8"/>
      <c r="AD76" s="8"/>
      <c r="AE76" s="8"/>
      <c r="AF76" s="8"/>
      <c r="AG76" s="8"/>
      <c r="AH76" s="8"/>
      <c r="AI76" s="8"/>
      <c r="AJ76" s="8"/>
      <c r="AK76" s="13"/>
      <c r="AL76" s="238"/>
      <c r="AM76" s="12"/>
      <c r="AN76" s="8"/>
      <c r="AO76" s="8"/>
      <c r="AP76" s="8"/>
      <c r="AQ76" s="8"/>
      <c r="AR76" s="8"/>
      <c r="AS76" s="8"/>
      <c r="AT76" s="8"/>
      <c r="AU76" s="8"/>
      <c r="AV76" s="13"/>
      <c r="AW76" s="238"/>
      <c r="AX76" s="12"/>
      <c r="AY76" s="8"/>
      <c r="AZ76" s="8"/>
      <c r="BA76" s="8"/>
      <c r="BB76" s="8"/>
      <c r="BC76" s="8"/>
      <c r="BD76" s="8"/>
      <c r="BE76" s="8"/>
      <c r="BF76" s="8"/>
      <c r="BG76" s="13"/>
      <c r="BH76" s="238"/>
      <c r="BI76" s="12"/>
      <c r="BJ76" s="8"/>
      <c r="BK76" s="8"/>
      <c r="BL76" s="8"/>
      <c r="BM76" s="8"/>
      <c r="BN76" s="8"/>
      <c r="BO76" s="8"/>
      <c r="BP76" s="8"/>
      <c r="BQ76" s="8"/>
      <c r="BR76" s="13"/>
      <c r="BS76" s="238"/>
      <c r="BT76" s="12"/>
      <c r="BU76" s="8"/>
      <c r="BV76" s="8"/>
      <c r="BW76" s="8"/>
      <c r="BX76" s="8"/>
      <c r="BY76" s="8"/>
      <c r="BZ76" s="8"/>
      <c r="CA76" s="8"/>
      <c r="CB76" s="12"/>
      <c r="CC76" s="8"/>
      <c r="CD76" s="8"/>
      <c r="CE76" s="8"/>
      <c r="CF76" s="8"/>
      <c r="CG76" s="8"/>
      <c r="CH76" s="8"/>
      <c r="CI76" s="238"/>
      <c r="CJ76" s="12"/>
      <c r="CK76" s="8"/>
      <c r="CL76" s="8"/>
      <c r="CM76" s="8"/>
      <c r="CN76" s="8"/>
      <c r="CO76" s="8"/>
      <c r="CP76" s="8"/>
      <c r="CQ76" s="8"/>
      <c r="CR76" s="12"/>
      <c r="CS76" s="8"/>
      <c r="CT76" s="8"/>
      <c r="CU76" s="8"/>
      <c r="CV76" s="8"/>
      <c r="CW76" s="8"/>
      <c r="CX76" s="8"/>
      <c r="CY76" s="238"/>
      <c r="CZ76" s="12"/>
      <c r="DA76" s="8"/>
      <c r="DB76" s="8"/>
      <c r="DC76" s="8"/>
      <c r="DD76" s="8"/>
      <c r="DE76" s="8"/>
      <c r="DF76" s="8"/>
      <c r="DG76" s="8"/>
      <c r="DH76" s="12"/>
      <c r="DI76" s="8"/>
      <c r="DJ76" s="8"/>
      <c r="DK76" s="8"/>
      <c r="DL76" s="8"/>
      <c r="DM76" s="8"/>
      <c r="DN76" s="8"/>
      <c r="DO76" s="238"/>
      <c r="DP76" s="12"/>
      <c r="DQ76" s="8"/>
      <c r="DR76" s="8"/>
      <c r="DS76" s="8"/>
      <c r="DT76" s="8"/>
      <c r="DU76" s="8"/>
      <c r="DV76" s="8"/>
      <c r="DW76" s="8"/>
      <c r="DX76" s="12"/>
      <c r="DY76" s="8"/>
      <c r="DZ76" s="8"/>
      <c r="EA76" s="8"/>
      <c r="EB76" s="8"/>
      <c r="EC76" s="8"/>
      <c r="ED76" s="8"/>
      <c r="EE76" s="238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238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238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238"/>
      <c r="FP76" s="12"/>
      <c r="FQ76" s="12"/>
      <c r="FR76" s="12"/>
      <c r="FS76" s="12"/>
      <c r="FT76" s="12"/>
      <c r="FU76" s="238"/>
      <c r="FV76" s="12"/>
      <c r="FW76" s="12"/>
      <c r="FX76" s="12"/>
      <c r="FY76" s="12"/>
      <c r="FZ76" s="12"/>
      <c r="GA76" s="120"/>
      <c r="GB76" s="118" t="str">
        <f t="shared" si="36"/>
        <v/>
      </c>
      <c r="GC76" s="139" t="str">
        <f t="shared" si="37"/>
        <v/>
      </c>
      <c r="GD76" s="118">
        <f t="shared" si="38"/>
        <v>0</v>
      </c>
      <c r="GE76" s="118">
        <f t="shared" si="39"/>
        <v>0</v>
      </c>
      <c r="GF76" s="118">
        <f t="shared" si="40"/>
        <v>0</v>
      </c>
      <c r="GG76" s="118">
        <f t="shared" si="41"/>
        <v>0</v>
      </c>
      <c r="GH76" s="118">
        <f t="shared" si="42"/>
        <v>0</v>
      </c>
      <c r="GI76" s="118">
        <f t="shared" si="43"/>
        <v>0</v>
      </c>
      <c r="GJ76" s="118">
        <f t="shared" si="44"/>
        <v>0</v>
      </c>
      <c r="GK76" s="118">
        <f t="shared" si="45"/>
        <v>0</v>
      </c>
      <c r="GL76" s="118">
        <f t="shared" si="46"/>
        <v>0</v>
      </c>
      <c r="GM76" s="118">
        <f t="shared" si="47"/>
        <v>0</v>
      </c>
      <c r="GN76" s="118">
        <f t="shared" si="48"/>
        <v>0</v>
      </c>
      <c r="GO76" s="118">
        <f t="shared" si="49"/>
        <v>0</v>
      </c>
      <c r="GP76" s="118">
        <f t="shared" si="50"/>
        <v>0</v>
      </c>
      <c r="GQ76" s="118">
        <f t="shared" si="51"/>
        <v>0</v>
      </c>
      <c r="GR76" s="118">
        <f t="shared" si="52"/>
        <v>0</v>
      </c>
      <c r="GS76" s="121">
        <f t="shared" si="53"/>
        <v>0</v>
      </c>
      <c r="GT76"/>
      <c r="GU76"/>
      <c r="GV76"/>
      <c r="GW76" s="124"/>
      <c r="GX76" s="118"/>
      <c r="GY76" s="118"/>
      <c r="GZ76" s="118"/>
      <c r="HA76" s="118"/>
      <c r="HB76" s="118"/>
      <c r="HC76" s="118"/>
      <c r="HD76" s="118"/>
      <c r="HE76" s="118"/>
      <c r="HF76" s="118"/>
      <c r="HG76" s="118"/>
      <c r="HH76" s="118"/>
      <c r="HI76" s="118"/>
      <c r="HJ76" s="118"/>
      <c r="HK76" s="118"/>
      <c r="HL76" s="118"/>
    </row>
    <row r="77" spans="1:220" s="74" customFormat="1" ht="30" hidden="1" customHeight="1" x14ac:dyDescent="0.35">
      <c r="A77" s="119">
        <v>68</v>
      </c>
      <c r="B77" s="4"/>
      <c r="C77" s="7"/>
      <c r="D77" s="4"/>
      <c r="E77" s="246"/>
      <c r="F77" s="10"/>
      <c r="G77" s="10"/>
      <c r="H77" s="10"/>
      <c r="I77" s="10"/>
      <c r="J77" s="10"/>
      <c r="K77" s="10"/>
      <c r="L77" s="10"/>
      <c r="M77" s="10"/>
      <c r="N77" s="10"/>
      <c r="O77" s="11"/>
      <c r="P77" s="238"/>
      <c r="Q77" s="14"/>
      <c r="R77" s="10"/>
      <c r="S77" s="10"/>
      <c r="T77" s="10"/>
      <c r="U77" s="10"/>
      <c r="V77" s="10"/>
      <c r="W77" s="10"/>
      <c r="X77" s="10"/>
      <c r="Y77" s="10"/>
      <c r="Z77" s="15"/>
      <c r="AA77" s="238"/>
      <c r="AB77" s="14"/>
      <c r="AC77" s="10"/>
      <c r="AD77" s="10"/>
      <c r="AE77" s="10"/>
      <c r="AF77" s="10"/>
      <c r="AG77" s="10"/>
      <c r="AH77" s="10"/>
      <c r="AI77" s="10"/>
      <c r="AJ77" s="10"/>
      <c r="AK77" s="15"/>
      <c r="AL77" s="238"/>
      <c r="AM77" s="14"/>
      <c r="AN77" s="10"/>
      <c r="AO77" s="10"/>
      <c r="AP77" s="10"/>
      <c r="AQ77" s="10"/>
      <c r="AR77" s="10"/>
      <c r="AS77" s="10"/>
      <c r="AT77" s="10"/>
      <c r="AU77" s="10"/>
      <c r="AV77" s="15"/>
      <c r="AW77" s="238"/>
      <c r="AX77" s="14"/>
      <c r="AY77" s="10"/>
      <c r="AZ77" s="10"/>
      <c r="BA77" s="10"/>
      <c r="BB77" s="10"/>
      <c r="BC77" s="10"/>
      <c r="BD77" s="10"/>
      <c r="BE77" s="10"/>
      <c r="BF77" s="10"/>
      <c r="BG77" s="15"/>
      <c r="BH77" s="238"/>
      <c r="BI77" s="14"/>
      <c r="BJ77" s="10"/>
      <c r="BK77" s="10"/>
      <c r="BL77" s="10"/>
      <c r="BM77" s="10"/>
      <c r="BN77" s="10"/>
      <c r="BO77" s="10"/>
      <c r="BP77" s="10"/>
      <c r="BQ77" s="10"/>
      <c r="BR77" s="15"/>
      <c r="BS77" s="238"/>
      <c r="BT77" s="14"/>
      <c r="BU77" s="10"/>
      <c r="BV77" s="10"/>
      <c r="BW77" s="10"/>
      <c r="BX77" s="10"/>
      <c r="BY77" s="10"/>
      <c r="BZ77" s="10"/>
      <c r="CA77" s="10"/>
      <c r="CB77" s="14"/>
      <c r="CC77" s="10"/>
      <c r="CD77" s="10"/>
      <c r="CE77" s="10"/>
      <c r="CF77" s="10"/>
      <c r="CG77" s="10"/>
      <c r="CH77" s="10"/>
      <c r="CI77" s="238"/>
      <c r="CJ77" s="14"/>
      <c r="CK77" s="10"/>
      <c r="CL77" s="10"/>
      <c r="CM77" s="10"/>
      <c r="CN77" s="10"/>
      <c r="CO77" s="10"/>
      <c r="CP77" s="10"/>
      <c r="CQ77" s="10"/>
      <c r="CR77" s="14"/>
      <c r="CS77" s="10"/>
      <c r="CT77" s="10"/>
      <c r="CU77" s="10"/>
      <c r="CV77" s="10"/>
      <c r="CW77" s="10"/>
      <c r="CX77" s="10"/>
      <c r="CY77" s="238"/>
      <c r="CZ77" s="14"/>
      <c r="DA77" s="10"/>
      <c r="DB77" s="10"/>
      <c r="DC77" s="10"/>
      <c r="DD77" s="10"/>
      <c r="DE77" s="10"/>
      <c r="DF77" s="10"/>
      <c r="DG77" s="10"/>
      <c r="DH77" s="14"/>
      <c r="DI77" s="10"/>
      <c r="DJ77" s="10"/>
      <c r="DK77" s="10"/>
      <c r="DL77" s="10"/>
      <c r="DM77" s="10"/>
      <c r="DN77" s="10"/>
      <c r="DO77" s="238"/>
      <c r="DP77" s="14"/>
      <c r="DQ77" s="10"/>
      <c r="DR77" s="10"/>
      <c r="DS77" s="10"/>
      <c r="DT77" s="10"/>
      <c r="DU77" s="10"/>
      <c r="DV77" s="10"/>
      <c r="DW77" s="10"/>
      <c r="DX77" s="14"/>
      <c r="DY77" s="10"/>
      <c r="DZ77" s="10"/>
      <c r="EA77" s="10"/>
      <c r="EB77" s="10"/>
      <c r="EC77" s="10"/>
      <c r="ED77" s="10"/>
      <c r="EE77" s="238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238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238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238"/>
      <c r="FP77" s="14"/>
      <c r="FQ77" s="14"/>
      <c r="FR77" s="14"/>
      <c r="FS77" s="14"/>
      <c r="FT77" s="14"/>
      <c r="FU77" s="238"/>
      <c r="FV77" s="14"/>
      <c r="FW77" s="14"/>
      <c r="FX77" s="14"/>
      <c r="FY77" s="14"/>
      <c r="FZ77" s="14"/>
      <c r="GA77" s="120"/>
      <c r="GB77" s="122" t="str">
        <f t="shared" si="36"/>
        <v/>
      </c>
      <c r="GC77" s="140" t="str">
        <f t="shared" si="37"/>
        <v/>
      </c>
      <c r="GD77" s="122">
        <f t="shared" si="38"/>
        <v>0</v>
      </c>
      <c r="GE77" s="122">
        <f t="shared" si="39"/>
        <v>0</v>
      </c>
      <c r="GF77" s="122">
        <f t="shared" si="40"/>
        <v>0</v>
      </c>
      <c r="GG77" s="122">
        <f t="shared" si="41"/>
        <v>0</v>
      </c>
      <c r="GH77" s="122">
        <f t="shared" si="42"/>
        <v>0</v>
      </c>
      <c r="GI77" s="122">
        <f t="shared" si="43"/>
        <v>0</v>
      </c>
      <c r="GJ77" s="122">
        <f t="shared" si="44"/>
        <v>0</v>
      </c>
      <c r="GK77" s="122">
        <f t="shared" si="45"/>
        <v>0</v>
      </c>
      <c r="GL77" s="122">
        <f t="shared" si="46"/>
        <v>0</v>
      </c>
      <c r="GM77" s="122">
        <f t="shared" si="47"/>
        <v>0</v>
      </c>
      <c r="GN77" s="122">
        <f t="shared" si="48"/>
        <v>0</v>
      </c>
      <c r="GO77" s="122">
        <f t="shared" si="49"/>
        <v>0</v>
      </c>
      <c r="GP77" s="122">
        <f t="shared" si="50"/>
        <v>0</v>
      </c>
      <c r="GQ77" s="122">
        <f t="shared" si="51"/>
        <v>0</v>
      </c>
      <c r="GR77" s="122">
        <f t="shared" si="52"/>
        <v>0</v>
      </c>
      <c r="GS77" s="123">
        <f t="shared" si="53"/>
        <v>0</v>
      </c>
      <c r="GT77"/>
      <c r="GU77"/>
      <c r="GV77"/>
      <c r="GW77" s="124"/>
      <c r="GX77" s="118"/>
      <c r="GY77" s="118"/>
      <c r="GZ77" s="118"/>
      <c r="HA77" s="118"/>
      <c r="HB77" s="118"/>
      <c r="HC77" s="118"/>
      <c r="HD77" s="118"/>
      <c r="HE77" s="118"/>
      <c r="HF77" s="118"/>
      <c r="HG77" s="118"/>
      <c r="HH77" s="118"/>
      <c r="HI77" s="118"/>
      <c r="HJ77" s="118"/>
      <c r="HK77" s="118"/>
      <c r="HL77" s="118"/>
    </row>
    <row r="78" spans="1:220" s="74" customFormat="1" ht="30" hidden="1" customHeight="1" x14ac:dyDescent="0.35">
      <c r="A78" s="119">
        <v>69</v>
      </c>
      <c r="B78" s="3"/>
      <c r="C78" s="6"/>
      <c r="D78" s="3"/>
      <c r="E78" s="246"/>
      <c r="F78" s="8"/>
      <c r="G78" s="8"/>
      <c r="H78" s="8"/>
      <c r="I78" s="8"/>
      <c r="J78" s="8"/>
      <c r="K78" s="8"/>
      <c r="L78" s="8"/>
      <c r="M78" s="8"/>
      <c r="N78" s="8"/>
      <c r="O78" s="9"/>
      <c r="P78" s="238"/>
      <c r="Q78" s="12"/>
      <c r="R78" s="8"/>
      <c r="S78" s="8"/>
      <c r="T78" s="8"/>
      <c r="U78" s="8"/>
      <c r="V78" s="8"/>
      <c r="W78" s="8"/>
      <c r="X78" s="8"/>
      <c r="Y78" s="8"/>
      <c r="Z78" s="13"/>
      <c r="AA78" s="238"/>
      <c r="AB78" s="12"/>
      <c r="AC78" s="8"/>
      <c r="AD78" s="8"/>
      <c r="AE78" s="8"/>
      <c r="AF78" s="8"/>
      <c r="AG78" s="8"/>
      <c r="AH78" s="8"/>
      <c r="AI78" s="8"/>
      <c r="AJ78" s="8"/>
      <c r="AK78" s="13"/>
      <c r="AL78" s="238"/>
      <c r="AM78" s="12"/>
      <c r="AN78" s="8"/>
      <c r="AO78" s="8"/>
      <c r="AP78" s="8"/>
      <c r="AQ78" s="8"/>
      <c r="AR78" s="8"/>
      <c r="AS78" s="8"/>
      <c r="AT78" s="8"/>
      <c r="AU78" s="8"/>
      <c r="AV78" s="13"/>
      <c r="AW78" s="238"/>
      <c r="AX78" s="12"/>
      <c r="AY78" s="8"/>
      <c r="AZ78" s="8"/>
      <c r="BA78" s="8"/>
      <c r="BB78" s="8"/>
      <c r="BC78" s="8"/>
      <c r="BD78" s="8"/>
      <c r="BE78" s="8"/>
      <c r="BF78" s="8"/>
      <c r="BG78" s="13"/>
      <c r="BH78" s="238"/>
      <c r="BI78" s="12"/>
      <c r="BJ78" s="8"/>
      <c r="BK78" s="8"/>
      <c r="BL78" s="8"/>
      <c r="BM78" s="8"/>
      <c r="BN78" s="8"/>
      <c r="BO78" s="8"/>
      <c r="BP78" s="8"/>
      <c r="BQ78" s="8"/>
      <c r="BR78" s="13"/>
      <c r="BS78" s="238"/>
      <c r="BT78" s="12"/>
      <c r="BU78" s="8"/>
      <c r="BV78" s="8"/>
      <c r="BW78" s="8"/>
      <c r="BX78" s="8"/>
      <c r="BY78" s="8"/>
      <c r="BZ78" s="8"/>
      <c r="CA78" s="8"/>
      <c r="CB78" s="12"/>
      <c r="CC78" s="8"/>
      <c r="CD78" s="8"/>
      <c r="CE78" s="8"/>
      <c r="CF78" s="8"/>
      <c r="CG78" s="8"/>
      <c r="CH78" s="8"/>
      <c r="CI78" s="238"/>
      <c r="CJ78" s="12"/>
      <c r="CK78" s="8"/>
      <c r="CL78" s="8"/>
      <c r="CM78" s="8"/>
      <c r="CN78" s="8"/>
      <c r="CO78" s="8"/>
      <c r="CP78" s="8"/>
      <c r="CQ78" s="8"/>
      <c r="CR78" s="12"/>
      <c r="CS78" s="8"/>
      <c r="CT78" s="8"/>
      <c r="CU78" s="8"/>
      <c r="CV78" s="8"/>
      <c r="CW78" s="8"/>
      <c r="CX78" s="8"/>
      <c r="CY78" s="238"/>
      <c r="CZ78" s="12"/>
      <c r="DA78" s="8"/>
      <c r="DB78" s="8"/>
      <c r="DC78" s="8"/>
      <c r="DD78" s="8"/>
      <c r="DE78" s="8"/>
      <c r="DF78" s="8"/>
      <c r="DG78" s="8"/>
      <c r="DH78" s="12"/>
      <c r="DI78" s="8"/>
      <c r="DJ78" s="8"/>
      <c r="DK78" s="8"/>
      <c r="DL78" s="8"/>
      <c r="DM78" s="8"/>
      <c r="DN78" s="8"/>
      <c r="DO78" s="238"/>
      <c r="DP78" s="12"/>
      <c r="DQ78" s="8"/>
      <c r="DR78" s="8"/>
      <c r="DS78" s="8"/>
      <c r="DT78" s="8"/>
      <c r="DU78" s="8"/>
      <c r="DV78" s="8"/>
      <c r="DW78" s="8"/>
      <c r="DX78" s="12"/>
      <c r="DY78" s="8"/>
      <c r="DZ78" s="8"/>
      <c r="EA78" s="8"/>
      <c r="EB78" s="8"/>
      <c r="EC78" s="8"/>
      <c r="ED78" s="8"/>
      <c r="EE78" s="238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238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238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238"/>
      <c r="FP78" s="12"/>
      <c r="FQ78" s="12"/>
      <c r="FR78" s="12"/>
      <c r="FS78" s="12"/>
      <c r="FT78" s="12"/>
      <c r="FU78" s="238"/>
      <c r="FV78" s="12"/>
      <c r="FW78" s="12"/>
      <c r="FX78" s="12"/>
      <c r="FY78" s="12"/>
      <c r="FZ78" s="12"/>
      <c r="GA78" s="120"/>
      <c r="GB78" s="118" t="str">
        <f t="shared" si="36"/>
        <v/>
      </c>
      <c r="GC78" s="139" t="str">
        <f t="shared" si="37"/>
        <v/>
      </c>
      <c r="GD78" s="118">
        <f t="shared" si="38"/>
        <v>0</v>
      </c>
      <c r="GE78" s="118">
        <f t="shared" si="39"/>
        <v>0</v>
      </c>
      <c r="GF78" s="118">
        <f t="shared" si="40"/>
        <v>0</v>
      </c>
      <c r="GG78" s="118">
        <f t="shared" si="41"/>
        <v>0</v>
      </c>
      <c r="GH78" s="118">
        <f t="shared" si="42"/>
        <v>0</v>
      </c>
      <c r="GI78" s="118">
        <f t="shared" si="43"/>
        <v>0</v>
      </c>
      <c r="GJ78" s="118">
        <f t="shared" si="44"/>
        <v>0</v>
      </c>
      <c r="GK78" s="118">
        <f t="shared" si="45"/>
        <v>0</v>
      </c>
      <c r="GL78" s="118">
        <f t="shared" si="46"/>
        <v>0</v>
      </c>
      <c r="GM78" s="118">
        <f t="shared" si="47"/>
        <v>0</v>
      </c>
      <c r="GN78" s="118">
        <f t="shared" si="48"/>
        <v>0</v>
      </c>
      <c r="GO78" s="118">
        <f t="shared" si="49"/>
        <v>0</v>
      </c>
      <c r="GP78" s="118">
        <f t="shared" si="50"/>
        <v>0</v>
      </c>
      <c r="GQ78" s="118">
        <f t="shared" si="51"/>
        <v>0</v>
      </c>
      <c r="GR78" s="118">
        <f t="shared" si="52"/>
        <v>0</v>
      </c>
      <c r="GS78" s="121">
        <f t="shared" si="53"/>
        <v>0</v>
      </c>
      <c r="GT78"/>
      <c r="GU78"/>
      <c r="GV78"/>
      <c r="GW78" s="124"/>
      <c r="GX78" s="118"/>
      <c r="GY78" s="118"/>
      <c r="GZ78" s="118"/>
      <c r="HA78" s="118"/>
      <c r="HB78" s="118"/>
      <c r="HC78" s="118"/>
      <c r="HD78" s="118"/>
      <c r="HE78" s="118"/>
      <c r="HF78" s="118"/>
      <c r="HG78" s="118"/>
      <c r="HH78" s="118"/>
      <c r="HI78" s="118"/>
      <c r="HJ78" s="118"/>
      <c r="HK78" s="118"/>
      <c r="HL78" s="118"/>
    </row>
    <row r="79" spans="1:220" s="74" customFormat="1" ht="30" hidden="1" customHeight="1" x14ac:dyDescent="0.35">
      <c r="A79" s="119">
        <v>70</v>
      </c>
      <c r="B79" s="4"/>
      <c r="C79" s="7"/>
      <c r="D79" s="4"/>
      <c r="E79" s="246"/>
      <c r="F79" s="10"/>
      <c r="G79" s="10"/>
      <c r="H79" s="10"/>
      <c r="I79" s="10"/>
      <c r="J79" s="10"/>
      <c r="K79" s="10"/>
      <c r="L79" s="10"/>
      <c r="M79" s="10"/>
      <c r="N79" s="10"/>
      <c r="O79" s="11"/>
      <c r="P79" s="238"/>
      <c r="Q79" s="14"/>
      <c r="R79" s="10"/>
      <c r="S79" s="10"/>
      <c r="T79" s="10"/>
      <c r="U79" s="10"/>
      <c r="V79" s="10"/>
      <c r="W79" s="10"/>
      <c r="X79" s="10"/>
      <c r="Y79" s="10"/>
      <c r="Z79" s="15"/>
      <c r="AA79" s="238"/>
      <c r="AB79" s="14"/>
      <c r="AC79" s="10"/>
      <c r="AD79" s="10"/>
      <c r="AE79" s="10"/>
      <c r="AF79" s="10"/>
      <c r="AG79" s="10"/>
      <c r="AH79" s="10"/>
      <c r="AI79" s="10"/>
      <c r="AJ79" s="10"/>
      <c r="AK79" s="15"/>
      <c r="AL79" s="238"/>
      <c r="AM79" s="14"/>
      <c r="AN79" s="10"/>
      <c r="AO79" s="10"/>
      <c r="AP79" s="10"/>
      <c r="AQ79" s="10"/>
      <c r="AR79" s="10"/>
      <c r="AS79" s="10"/>
      <c r="AT79" s="10"/>
      <c r="AU79" s="10"/>
      <c r="AV79" s="15"/>
      <c r="AW79" s="238"/>
      <c r="AX79" s="14"/>
      <c r="AY79" s="10"/>
      <c r="AZ79" s="10"/>
      <c r="BA79" s="10"/>
      <c r="BB79" s="10"/>
      <c r="BC79" s="10"/>
      <c r="BD79" s="10"/>
      <c r="BE79" s="10"/>
      <c r="BF79" s="10"/>
      <c r="BG79" s="15"/>
      <c r="BH79" s="238"/>
      <c r="BI79" s="14"/>
      <c r="BJ79" s="10"/>
      <c r="BK79" s="10"/>
      <c r="BL79" s="10"/>
      <c r="BM79" s="10"/>
      <c r="BN79" s="10"/>
      <c r="BO79" s="10"/>
      <c r="BP79" s="10"/>
      <c r="BQ79" s="10"/>
      <c r="BR79" s="15"/>
      <c r="BS79" s="238"/>
      <c r="BT79" s="14"/>
      <c r="BU79" s="10"/>
      <c r="BV79" s="10"/>
      <c r="BW79" s="10"/>
      <c r="BX79" s="10"/>
      <c r="BY79" s="10"/>
      <c r="BZ79" s="10"/>
      <c r="CA79" s="10"/>
      <c r="CB79" s="14"/>
      <c r="CC79" s="10"/>
      <c r="CD79" s="10"/>
      <c r="CE79" s="10"/>
      <c r="CF79" s="10"/>
      <c r="CG79" s="10"/>
      <c r="CH79" s="10"/>
      <c r="CI79" s="238"/>
      <c r="CJ79" s="14"/>
      <c r="CK79" s="10"/>
      <c r="CL79" s="10"/>
      <c r="CM79" s="10"/>
      <c r="CN79" s="10"/>
      <c r="CO79" s="10"/>
      <c r="CP79" s="10"/>
      <c r="CQ79" s="10"/>
      <c r="CR79" s="14"/>
      <c r="CS79" s="10"/>
      <c r="CT79" s="10"/>
      <c r="CU79" s="10"/>
      <c r="CV79" s="10"/>
      <c r="CW79" s="10"/>
      <c r="CX79" s="10"/>
      <c r="CY79" s="238"/>
      <c r="CZ79" s="14"/>
      <c r="DA79" s="10"/>
      <c r="DB79" s="10"/>
      <c r="DC79" s="10"/>
      <c r="DD79" s="10"/>
      <c r="DE79" s="10"/>
      <c r="DF79" s="10"/>
      <c r="DG79" s="10"/>
      <c r="DH79" s="14"/>
      <c r="DI79" s="10"/>
      <c r="DJ79" s="10"/>
      <c r="DK79" s="10"/>
      <c r="DL79" s="10"/>
      <c r="DM79" s="10"/>
      <c r="DN79" s="10"/>
      <c r="DO79" s="238"/>
      <c r="DP79" s="14"/>
      <c r="DQ79" s="10"/>
      <c r="DR79" s="10"/>
      <c r="DS79" s="10"/>
      <c r="DT79" s="10"/>
      <c r="DU79" s="10"/>
      <c r="DV79" s="10"/>
      <c r="DW79" s="10"/>
      <c r="DX79" s="14"/>
      <c r="DY79" s="10"/>
      <c r="DZ79" s="10"/>
      <c r="EA79" s="10"/>
      <c r="EB79" s="10"/>
      <c r="EC79" s="10"/>
      <c r="ED79" s="10"/>
      <c r="EE79" s="238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238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238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238"/>
      <c r="FP79" s="14"/>
      <c r="FQ79" s="14"/>
      <c r="FR79" s="14"/>
      <c r="FS79" s="14"/>
      <c r="FT79" s="14"/>
      <c r="FU79" s="238"/>
      <c r="FV79" s="14"/>
      <c r="FW79" s="14"/>
      <c r="FX79" s="14"/>
      <c r="FY79" s="14"/>
      <c r="FZ79" s="14"/>
      <c r="GA79" s="120"/>
      <c r="GB79" s="122" t="str">
        <f t="shared" si="36"/>
        <v/>
      </c>
      <c r="GC79" s="140" t="str">
        <f t="shared" si="37"/>
        <v/>
      </c>
      <c r="GD79" s="122">
        <f t="shared" si="38"/>
        <v>0</v>
      </c>
      <c r="GE79" s="122">
        <f t="shared" si="39"/>
        <v>0</v>
      </c>
      <c r="GF79" s="122">
        <f t="shared" si="40"/>
        <v>0</v>
      </c>
      <c r="GG79" s="122">
        <f t="shared" si="41"/>
        <v>0</v>
      </c>
      <c r="GH79" s="122">
        <f t="shared" si="42"/>
        <v>0</v>
      </c>
      <c r="GI79" s="122">
        <f t="shared" si="43"/>
        <v>0</v>
      </c>
      <c r="GJ79" s="122">
        <f t="shared" si="44"/>
        <v>0</v>
      </c>
      <c r="GK79" s="122">
        <f t="shared" si="45"/>
        <v>0</v>
      </c>
      <c r="GL79" s="122">
        <f t="shared" si="46"/>
        <v>0</v>
      </c>
      <c r="GM79" s="122">
        <f t="shared" si="47"/>
        <v>0</v>
      </c>
      <c r="GN79" s="122">
        <f t="shared" si="48"/>
        <v>0</v>
      </c>
      <c r="GO79" s="122">
        <f t="shared" si="49"/>
        <v>0</v>
      </c>
      <c r="GP79" s="122">
        <f t="shared" si="50"/>
        <v>0</v>
      </c>
      <c r="GQ79" s="122">
        <f t="shared" si="51"/>
        <v>0</v>
      </c>
      <c r="GR79" s="122">
        <f t="shared" si="52"/>
        <v>0</v>
      </c>
      <c r="GS79" s="123">
        <f t="shared" si="53"/>
        <v>0</v>
      </c>
      <c r="GT79"/>
      <c r="GU79"/>
      <c r="GV79"/>
      <c r="GW79" s="124"/>
      <c r="GX79" s="118"/>
      <c r="GY79" s="118"/>
      <c r="GZ79" s="118"/>
      <c r="HA79" s="118"/>
      <c r="HB79" s="118"/>
      <c r="HC79" s="118"/>
      <c r="HD79" s="118"/>
      <c r="HE79" s="118"/>
      <c r="HF79" s="118"/>
      <c r="HG79" s="118"/>
      <c r="HH79" s="118"/>
      <c r="HI79" s="118"/>
      <c r="HJ79" s="118"/>
      <c r="HK79" s="118"/>
      <c r="HL79" s="118"/>
    </row>
    <row r="80" spans="1:220" s="74" customFormat="1" ht="30" hidden="1" customHeight="1" x14ac:dyDescent="0.35">
      <c r="A80" s="119">
        <v>71</v>
      </c>
      <c r="B80" s="3"/>
      <c r="C80" s="6"/>
      <c r="D80" s="3"/>
      <c r="E80" s="246"/>
      <c r="F80" s="8"/>
      <c r="G80" s="8"/>
      <c r="H80" s="8"/>
      <c r="I80" s="8"/>
      <c r="J80" s="8"/>
      <c r="K80" s="8"/>
      <c r="L80" s="8"/>
      <c r="M80" s="8"/>
      <c r="N80" s="8"/>
      <c r="O80" s="9"/>
      <c r="P80" s="238"/>
      <c r="Q80" s="12"/>
      <c r="R80" s="8"/>
      <c r="S80" s="8"/>
      <c r="T80" s="8"/>
      <c r="U80" s="8"/>
      <c r="V80" s="8"/>
      <c r="W80" s="8"/>
      <c r="X80" s="8"/>
      <c r="Y80" s="8"/>
      <c r="Z80" s="13"/>
      <c r="AA80" s="238"/>
      <c r="AB80" s="12"/>
      <c r="AC80" s="8"/>
      <c r="AD80" s="8"/>
      <c r="AE80" s="8"/>
      <c r="AF80" s="8"/>
      <c r="AG80" s="8"/>
      <c r="AH80" s="8"/>
      <c r="AI80" s="8"/>
      <c r="AJ80" s="8"/>
      <c r="AK80" s="13"/>
      <c r="AL80" s="238"/>
      <c r="AM80" s="12"/>
      <c r="AN80" s="8"/>
      <c r="AO80" s="8"/>
      <c r="AP80" s="8"/>
      <c r="AQ80" s="8"/>
      <c r="AR80" s="8"/>
      <c r="AS80" s="8"/>
      <c r="AT80" s="8"/>
      <c r="AU80" s="8"/>
      <c r="AV80" s="13"/>
      <c r="AW80" s="238"/>
      <c r="AX80" s="12"/>
      <c r="AY80" s="8"/>
      <c r="AZ80" s="8"/>
      <c r="BA80" s="8"/>
      <c r="BB80" s="8"/>
      <c r="BC80" s="8"/>
      <c r="BD80" s="8"/>
      <c r="BE80" s="8"/>
      <c r="BF80" s="8"/>
      <c r="BG80" s="13"/>
      <c r="BH80" s="238"/>
      <c r="BI80" s="12"/>
      <c r="BJ80" s="8"/>
      <c r="BK80" s="8"/>
      <c r="BL80" s="8"/>
      <c r="BM80" s="8"/>
      <c r="BN80" s="8"/>
      <c r="BO80" s="8"/>
      <c r="BP80" s="8"/>
      <c r="BQ80" s="8"/>
      <c r="BR80" s="13"/>
      <c r="BS80" s="238"/>
      <c r="BT80" s="12"/>
      <c r="BU80" s="8"/>
      <c r="BV80" s="8"/>
      <c r="BW80" s="8"/>
      <c r="BX80" s="8"/>
      <c r="BY80" s="8"/>
      <c r="BZ80" s="8"/>
      <c r="CA80" s="8"/>
      <c r="CB80" s="12"/>
      <c r="CC80" s="8"/>
      <c r="CD80" s="8"/>
      <c r="CE80" s="8"/>
      <c r="CF80" s="8"/>
      <c r="CG80" s="8"/>
      <c r="CH80" s="8"/>
      <c r="CI80" s="238"/>
      <c r="CJ80" s="12"/>
      <c r="CK80" s="8"/>
      <c r="CL80" s="8"/>
      <c r="CM80" s="8"/>
      <c r="CN80" s="8"/>
      <c r="CO80" s="8"/>
      <c r="CP80" s="8"/>
      <c r="CQ80" s="8"/>
      <c r="CR80" s="12"/>
      <c r="CS80" s="8"/>
      <c r="CT80" s="8"/>
      <c r="CU80" s="8"/>
      <c r="CV80" s="8"/>
      <c r="CW80" s="8"/>
      <c r="CX80" s="8"/>
      <c r="CY80" s="238"/>
      <c r="CZ80" s="12"/>
      <c r="DA80" s="8"/>
      <c r="DB80" s="8"/>
      <c r="DC80" s="8"/>
      <c r="DD80" s="8"/>
      <c r="DE80" s="8"/>
      <c r="DF80" s="8"/>
      <c r="DG80" s="8"/>
      <c r="DH80" s="12"/>
      <c r="DI80" s="8"/>
      <c r="DJ80" s="8"/>
      <c r="DK80" s="8"/>
      <c r="DL80" s="8"/>
      <c r="DM80" s="8"/>
      <c r="DN80" s="8"/>
      <c r="DO80" s="238"/>
      <c r="DP80" s="12"/>
      <c r="DQ80" s="8"/>
      <c r="DR80" s="8"/>
      <c r="DS80" s="8"/>
      <c r="DT80" s="8"/>
      <c r="DU80" s="8"/>
      <c r="DV80" s="8"/>
      <c r="DW80" s="8"/>
      <c r="DX80" s="12"/>
      <c r="DY80" s="8"/>
      <c r="DZ80" s="8"/>
      <c r="EA80" s="8"/>
      <c r="EB80" s="8"/>
      <c r="EC80" s="8"/>
      <c r="ED80" s="8"/>
      <c r="EE80" s="238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238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238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238"/>
      <c r="FP80" s="12"/>
      <c r="FQ80" s="12"/>
      <c r="FR80" s="12"/>
      <c r="FS80" s="12"/>
      <c r="FT80" s="12"/>
      <c r="FU80" s="238"/>
      <c r="FV80" s="12"/>
      <c r="FW80" s="12"/>
      <c r="FX80" s="12"/>
      <c r="FY80" s="12"/>
      <c r="FZ80" s="12"/>
      <c r="GA80" s="120"/>
      <c r="GB80" s="118" t="str">
        <f t="shared" si="36"/>
        <v/>
      </c>
      <c r="GC80" s="139" t="str">
        <f t="shared" si="37"/>
        <v/>
      </c>
      <c r="GD80" s="118">
        <f t="shared" si="38"/>
        <v>0</v>
      </c>
      <c r="GE80" s="118">
        <f t="shared" si="39"/>
        <v>0</v>
      </c>
      <c r="GF80" s="118">
        <f t="shared" si="40"/>
        <v>0</v>
      </c>
      <c r="GG80" s="118">
        <f t="shared" si="41"/>
        <v>0</v>
      </c>
      <c r="GH80" s="118">
        <f t="shared" si="42"/>
        <v>0</v>
      </c>
      <c r="GI80" s="118">
        <f t="shared" si="43"/>
        <v>0</v>
      </c>
      <c r="GJ80" s="118">
        <f t="shared" si="44"/>
        <v>0</v>
      </c>
      <c r="GK80" s="118">
        <f t="shared" si="45"/>
        <v>0</v>
      </c>
      <c r="GL80" s="118">
        <f t="shared" si="46"/>
        <v>0</v>
      </c>
      <c r="GM80" s="118">
        <f t="shared" si="47"/>
        <v>0</v>
      </c>
      <c r="GN80" s="118">
        <f t="shared" si="48"/>
        <v>0</v>
      </c>
      <c r="GO80" s="118">
        <f t="shared" si="49"/>
        <v>0</v>
      </c>
      <c r="GP80" s="118">
        <f t="shared" si="50"/>
        <v>0</v>
      </c>
      <c r="GQ80" s="118">
        <f t="shared" si="51"/>
        <v>0</v>
      </c>
      <c r="GR80" s="118">
        <f t="shared" si="52"/>
        <v>0</v>
      </c>
      <c r="GS80" s="121">
        <f t="shared" si="53"/>
        <v>0</v>
      </c>
      <c r="GT80"/>
      <c r="GU80"/>
      <c r="GV80"/>
      <c r="GW80" s="124"/>
      <c r="GX80" s="118"/>
      <c r="GY80" s="118"/>
      <c r="GZ80" s="118"/>
      <c r="HA80" s="118"/>
      <c r="HB80" s="118"/>
      <c r="HC80" s="118"/>
      <c r="HD80" s="118"/>
      <c r="HE80" s="118"/>
      <c r="HF80" s="118"/>
      <c r="HG80" s="118"/>
      <c r="HH80" s="118"/>
      <c r="HI80" s="118"/>
      <c r="HJ80" s="118"/>
      <c r="HK80" s="118"/>
      <c r="HL80" s="118"/>
    </row>
    <row r="81" spans="1:220" s="74" customFormat="1" ht="30" hidden="1" customHeight="1" x14ac:dyDescent="0.35">
      <c r="A81" s="119">
        <v>72</v>
      </c>
      <c r="B81" s="4"/>
      <c r="C81" s="7"/>
      <c r="D81" s="4"/>
      <c r="E81" s="246"/>
      <c r="F81" s="10"/>
      <c r="G81" s="10"/>
      <c r="H81" s="10"/>
      <c r="I81" s="10"/>
      <c r="J81" s="10"/>
      <c r="K81" s="10"/>
      <c r="L81" s="10"/>
      <c r="M81" s="10"/>
      <c r="N81" s="10"/>
      <c r="O81" s="11"/>
      <c r="P81" s="238"/>
      <c r="Q81" s="14"/>
      <c r="R81" s="10"/>
      <c r="S81" s="10"/>
      <c r="T81" s="10"/>
      <c r="U81" s="10"/>
      <c r="V81" s="10"/>
      <c r="W81" s="10"/>
      <c r="X81" s="10"/>
      <c r="Y81" s="10"/>
      <c r="Z81" s="15"/>
      <c r="AA81" s="238"/>
      <c r="AB81" s="14"/>
      <c r="AC81" s="10"/>
      <c r="AD81" s="10"/>
      <c r="AE81" s="10"/>
      <c r="AF81" s="10"/>
      <c r="AG81" s="10"/>
      <c r="AH81" s="10"/>
      <c r="AI81" s="10"/>
      <c r="AJ81" s="10"/>
      <c r="AK81" s="15"/>
      <c r="AL81" s="238"/>
      <c r="AM81" s="14"/>
      <c r="AN81" s="10"/>
      <c r="AO81" s="10"/>
      <c r="AP81" s="10"/>
      <c r="AQ81" s="10"/>
      <c r="AR81" s="10"/>
      <c r="AS81" s="10"/>
      <c r="AT81" s="10"/>
      <c r="AU81" s="10"/>
      <c r="AV81" s="15"/>
      <c r="AW81" s="238"/>
      <c r="AX81" s="14"/>
      <c r="AY81" s="10"/>
      <c r="AZ81" s="10"/>
      <c r="BA81" s="10"/>
      <c r="BB81" s="10"/>
      <c r="BC81" s="10"/>
      <c r="BD81" s="10"/>
      <c r="BE81" s="10"/>
      <c r="BF81" s="10"/>
      <c r="BG81" s="15"/>
      <c r="BH81" s="238"/>
      <c r="BI81" s="14"/>
      <c r="BJ81" s="10"/>
      <c r="BK81" s="10"/>
      <c r="BL81" s="10"/>
      <c r="BM81" s="10"/>
      <c r="BN81" s="10"/>
      <c r="BO81" s="10"/>
      <c r="BP81" s="10"/>
      <c r="BQ81" s="10"/>
      <c r="BR81" s="15"/>
      <c r="BS81" s="238"/>
      <c r="BT81" s="14"/>
      <c r="BU81" s="10"/>
      <c r="BV81" s="10"/>
      <c r="BW81" s="10"/>
      <c r="BX81" s="10"/>
      <c r="BY81" s="10"/>
      <c r="BZ81" s="10"/>
      <c r="CA81" s="10"/>
      <c r="CB81" s="14"/>
      <c r="CC81" s="10"/>
      <c r="CD81" s="10"/>
      <c r="CE81" s="10"/>
      <c r="CF81" s="10"/>
      <c r="CG81" s="10"/>
      <c r="CH81" s="10"/>
      <c r="CI81" s="238"/>
      <c r="CJ81" s="14"/>
      <c r="CK81" s="10"/>
      <c r="CL81" s="10"/>
      <c r="CM81" s="10"/>
      <c r="CN81" s="10"/>
      <c r="CO81" s="10"/>
      <c r="CP81" s="10"/>
      <c r="CQ81" s="10"/>
      <c r="CR81" s="14"/>
      <c r="CS81" s="10"/>
      <c r="CT81" s="10"/>
      <c r="CU81" s="10"/>
      <c r="CV81" s="10"/>
      <c r="CW81" s="10"/>
      <c r="CX81" s="10"/>
      <c r="CY81" s="238"/>
      <c r="CZ81" s="14"/>
      <c r="DA81" s="10"/>
      <c r="DB81" s="10"/>
      <c r="DC81" s="10"/>
      <c r="DD81" s="10"/>
      <c r="DE81" s="10"/>
      <c r="DF81" s="10"/>
      <c r="DG81" s="10"/>
      <c r="DH81" s="14"/>
      <c r="DI81" s="10"/>
      <c r="DJ81" s="10"/>
      <c r="DK81" s="10"/>
      <c r="DL81" s="10"/>
      <c r="DM81" s="10"/>
      <c r="DN81" s="10"/>
      <c r="DO81" s="238"/>
      <c r="DP81" s="14"/>
      <c r="DQ81" s="10"/>
      <c r="DR81" s="10"/>
      <c r="DS81" s="10"/>
      <c r="DT81" s="10"/>
      <c r="DU81" s="10"/>
      <c r="DV81" s="10"/>
      <c r="DW81" s="10"/>
      <c r="DX81" s="14"/>
      <c r="DY81" s="10"/>
      <c r="DZ81" s="10"/>
      <c r="EA81" s="10"/>
      <c r="EB81" s="10"/>
      <c r="EC81" s="10"/>
      <c r="ED81" s="10"/>
      <c r="EE81" s="238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238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238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238"/>
      <c r="FP81" s="14"/>
      <c r="FQ81" s="14"/>
      <c r="FR81" s="14"/>
      <c r="FS81" s="14"/>
      <c r="FT81" s="14"/>
      <c r="FU81" s="238"/>
      <c r="FV81" s="14"/>
      <c r="FW81" s="14"/>
      <c r="FX81" s="14"/>
      <c r="FY81" s="14"/>
      <c r="FZ81" s="14"/>
      <c r="GA81" s="120"/>
      <c r="GB81" s="122" t="str">
        <f t="shared" si="36"/>
        <v/>
      </c>
      <c r="GC81" s="140" t="str">
        <f t="shared" si="37"/>
        <v/>
      </c>
      <c r="GD81" s="122">
        <f t="shared" si="38"/>
        <v>0</v>
      </c>
      <c r="GE81" s="122">
        <f t="shared" si="39"/>
        <v>0</v>
      </c>
      <c r="GF81" s="122">
        <f t="shared" si="40"/>
        <v>0</v>
      </c>
      <c r="GG81" s="122">
        <f t="shared" si="41"/>
        <v>0</v>
      </c>
      <c r="GH81" s="122">
        <f t="shared" si="42"/>
        <v>0</v>
      </c>
      <c r="GI81" s="122">
        <f t="shared" si="43"/>
        <v>0</v>
      </c>
      <c r="GJ81" s="122">
        <f t="shared" si="44"/>
        <v>0</v>
      </c>
      <c r="GK81" s="122">
        <f t="shared" si="45"/>
        <v>0</v>
      </c>
      <c r="GL81" s="122">
        <f t="shared" si="46"/>
        <v>0</v>
      </c>
      <c r="GM81" s="122">
        <f t="shared" si="47"/>
        <v>0</v>
      </c>
      <c r="GN81" s="122">
        <f t="shared" si="48"/>
        <v>0</v>
      </c>
      <c r="GO81" s="122">
        <f t="shared" si="49"/>
        <v>0</v>
      </c>
      <c r="GP81" s="122">
        <f t="shared" si="50"/>
        <v>0</v>
      </c>
      <c r="GQ81" s="122">
        <f t="shared" si="51"/>
        <v>0</v>
      </c>
      <c r="GR81" s="122">
        <f t="shared" si="52"/>
        <v>0</v>
      </c>
      <c r="GS81" s="123">
        <f t="shared" si="53"/>
        <v>0</v>
      </c>
      <c r="GT81"/>
      <c r="GU81"/>
      <c r="GV81"/>
      <c r="GW81" s="124"/>
      <c r="GX81" s="118"/>
      <c r="GY81" s="118"/>
      <c r="GZ81" s="118"/>
      <c r="HA81" s="118"/>
      <c r="HB81" s="118"/>
      <c r="HC81" s="118"/>
      <c r="HD81" s="118"/>
      <c r="HE81" s="118"/>
      <c r="HF81" s="118"/>
      <c r="HG81" s="118"/>
      <c r="HH81" s="118"/>
      <c r="HI81" s="118"/>
      <c r="HJ81" s="118"/>
      <c r="HK81" s="118"/>
      <c r="HL81" s="118"/>
    </row>
    <row r="82" spans="1:220" s="74" customFormat="1" ht="30" hidden="1" customHeight="1" x14ac:dyDescent="0.35">
      <c r="A82" s="119">
        <v>73</v>
      </c>
      <c r="B82" s="3"/>
      <c r="C82" s="6"/>
      <c r="D82" s="3"/>
      <c r="E82" s="246"/>
      <c r="F82" s="8"/>
      <c r="G82" s="8"/>
      <c r="H82" s="8"/>
      <c r="I82" s="8"/>
      <c r="J82" s="8"/>
      <c r="K82" s="8"/>
      <c r="L82" s="8"/>
      <c r="M82" s="8"/>
      <c r="N82" s="8"/>
      <c r="O82" s="9"/>
      <c r="P82" s="238"/>
      <c r="Q82" s="12"/>
      <c r="R82" s="8"/>
      <c r="S82" s="8"/>
      <c r="T82" s="8"/>
      <c r="U82" s="8"/>
      <c r="V82" s="8"/>
      <c r="W82" s="8"/>
      <c r="X82" s="8"/>
      <c r="Y82" s="8"/>
      <c r="Z82" s="13"/>
      <c r="AA82" s="238"/>
      <c r="AB82" s="12"/>
      <c r="AC82" s="8"/>
      <c r="AD82" s="8"/>
      <c r="AE82" s="8"/>
      <c r="AF82" s="8"/>
      <c r="AG82" s="8"/>
      <c r="AH82" s="8"/>
      <c r="AI82" s="8"/>
      <c r="AJ82" s="8"/>
      <c r="AK82" s="13"/>
      <c r="AL82" s="238"/>
      <c r="AM82" s="12"/>
      <c r="AN82" s="8"/>
      <c r="AO82" s="8"/>
      <c r="AP82" s="8"/>
      <c r="AQ82" s="8"/>
      <c r="AR82" s="8"/>
      <c r="AS82" s="8"/>
      <c r="AT82" s="8"/>
      <c r="AU82" s="8"/>
      <c r="AV82" s="13"/>
      <c r="AW82" s="238"/>
      <c r="AX82" s="12"/>
      <c r="AY82" s="8"/>
      <c r="AZ82" s="8"/>
      <c r="BA82" s="8"/>
      <c r="BB82" s="8"/>
      <c r="BC82" s="8"/>
      <c r="BD82" s="8"/>
      <c r="BE82" s="8"/>
      <c r="BF82" s="8"/>
      <c r="BG82" s="13"/>
      <c r="BH82" s="238"/>
      <c r="BI82" s="12"/>
      <c r="BJ82" s="8"/>
      <c r="BK82" s="8"/>
      <c r="BL82" s="8"/>
      <c r="BM82" s="8"/>
      <c r="BN82" s="8"/>
      <c r="BO82" s="8"/>
      <c r="BP82" s="8"/>
      <c r="BQ82" s="8"/>
      <c r="BR82" s="13"/>
      <c r="BS82" s="238"/>
      <c r="BT82" s="12"/>
      <c r="BU82" s="8"/>
      <c r="BV82" s="8"/>
      <c r="BW82" s="8"/>
      <c r="BX82" s="8"/>
      <c r="BY82" s="8"/>
      <c r="BZ82" s="8"/>
      <c r="CA82" s="8"/>
      <c r="CB82" s="12"/>
      <c r="CC82" s="8"/>
      <c r="CD82" s="8"/>
      <c r="CE82" s="8"/>
      <c r="CF82" s="8"/>
      <c r="CG82" s="8"/>
      <c r="CH82" s="8"/>
      <c r="CI82" s="238"/>
      <c r="CJ82" s="12"/>
      <c r="CK82" s="8"/>
      <c r="CL82" s="8"/>
      <c r="CM82" s="8"/>
      <c r="CN82" s="8"/>
      <c r="CO82" s="8"/>
      <c r="CP82" s="8"/>
      <c r="CQ82" s="8"/>
      <c r="CR82" s="12"/>
      <c r="CS82" s="8"/>
      <c r="CT82" s="8"/>
      <c r="CU82" s="8"/>
      <c r="CV82" s="8"/>
      <c r="CW82" s="8"/>
      <c r="CX82" s="8"/>
      <c r="CY82" s="238"/>
      <c r="CZ82" s="12"/>
      <c r="DA82" s="8"/>
      <c r="DB82" s="8"/>
      <c r="DC82" s="8"/>
      <c r="DD82" s="8"/>
      <c r="DE82" s="8"/>
      <c r="DF82" s="8"/>
      <c r="DG82" s="8"/>
      <c r="DH82" s="12"/>
      <c r="DI82" s="8"/>
      <c r="DJ82" s="8"/>
      <c r="DK82" s="8"/>
      <c r="DL82" s="8"/>
      <c r="DM82" s="8"/>
      <c r="DN82" s="8"/>
      <c r="DO82" s="238"/>
      <c r="DP82" s="12"/>
      <c r="DQ82" s="8"/>
      <c r="DR82" s="8"/>
      <c r="DS82" s="8"/>
      <c r="DT82" s="8"/>
      <c r="DU82" s="8"/>
      <c r="DV82" s="8"/>
      <c r="DW82" s="8"/>
      <c r="DX82" s="12"/>
      <c r="DY82" s="8"/>
      <c r="DZ82" s="8"/>
      <c r="EA82" s="8"/>
      <c r="EB82" s="8"/>
      <c r="EC82" s="8"/>
      <c r="ED82" s="8"/>
      <c r="EE82" s="238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238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238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238"/>
      <c r="FP82" s="12"/>
      <c r="FQ82" s="12"/>
      <c r="FR82" s="12"/>
      <c r="FS82" s="12"/>
      <c r="FT82" s="12"/>
      <c r="FU82" s="238"/>
      <c r="FV82" s="12"/>
      <c r="FW82" s="12"/>
      <c r="FX82" s="12"/>
      <c r="FY82" s="12"/>
      <c r="FZ82" s="12"/>
      <c r="GA82" s="120"/>
      <c r="GB82" s="118" t="str">
        <f t="shared" si="36"/>
        <v/>
      </c>
      <c r="GC82" s="139" t="str">
        <f t="shared" si="37"/>
        <v/>
      </c>
      <c r="GD82" s="118">
        <f t="shared" si="38"/>
        <v>0</v>
      </c>
      <c r="GE82" s="118">
        <f t="shared" si="39"/>
        <v>0</v>
      </c>
      <c r="GF82" s="118">
        <f t="shared" si="40"/>
        <v>0</v>
      </c>
      <c r="GG82" s="118">
        <f t="shared" si="41"/>
        <v>0</v>
      </c>
      <c r="GH82" s="118">
        <f t="shared" si="42"/>
        <v>0</v>
      </c>
      <c r="GI82" s="118">
        <f t="shared" si="43"/>
        <v>0</v>
      </c>
      <c r="GJ82" s="118">
        <f t="shared" si="44"/>
        <v>0</v>
      </c>
      <c r="GK82" s="118">
        <f t="shared" si="45"/>
        <v>0</v>
      </c>
      <c r="GL82" s="118">
        <f t="shared" si="46"/>
        <v>0</v>
      </c>
      <c r="GM82" s="118">
        <f t="shared" si="47"/>
        <v>0</v>
      </c>
      <c r="GN82" s="118">
        <f t="shared" si="48"/>
        <v>0</v>
      </c>
      <c r="GO82" s="118">
        <f t="shared" si="49"/>
        <v>0</v>
      </c>
      <c r="GP82" s="118">
        <f t="shared" si="50"/>
        <v>0</v>
      </c>
      <c r="GQ82" s="118">
        <f t="shared" si="51"/>
        <v>0</v>
      </c>
      <c r="GR82" s="118">
        <f t="shared" si="52"/>
        <v>0</v>
      </c>
      <c r="GS82" s="121">
        <f t="shared" si="53"/>
        <v>0</v>
      </c>
      <c r="GT82"/>
      <c r="GU82"/>
      <c r="GV82"/>
      <c r="GW82" s="124"/>
      <c r="GX82" s="118"/>
      <c r="GY82" s="118"/>
      <c r="GZ82" s="118"/>
      <c r="HA82" s="118"/>
      <c r="HB82" s="118"/>
      <c r="HC82" s="118"/>
      <c r="HD82" s="118"/>
      <c r="HE82" s="118"/>
      <c r="HF82" s="118"/>
      <c r="HG82" s="118"/>
      <c r="HH82" s="118"/>
      <c r="HI82" s="118"/>
      <c r="HJ82" s="118"/>
      <c r="HK82" s="118"/>
      <c r="HL82" s="118"/>
    </row>
    <row r="83" spans="1:220" s="74" customFormat="1" ht="30" hidden="1" customHeight="1" x14ac:dyDescent="0.35">
      <c r="A83" s="119">
        <v>74</v>
      </c>
      <c r="B83" s="4"/>
      <c r="C83" s="7"/>
      <c r="D83" s="4"/>
      <c r="E83" s="246"/>
      <c r="F83" s="10"/>
      <c r="G83" s="10"/>
      <c r="H83" s="10"/>
      <c r="I83" s="10"/>
      <c r="J83" s="10"/>
      <c r="K83" s="10"/>
      <c r="L83" s="10"/>
      <c r="M83" s="10"/>
      <c r="N83" s="10"/>
      <c r="O83" s="11"/>
      <c r="P83" s="238"/>
      <c r="Q83" s="14"/>
      <c r="R83" s="10"/>
      <c r="S83" s="10"/>
      <c r="T83" s="10"/>
      <c r="U83" s="10"/>
      <c r="V83" s="10"/>
      <c r="W83" s="10"/>
      <c r="X83" s="10"/>
      <c r="Y83" s="10"/>
      <c r="Z83" s="15"/>
      <c r="AA83" s="238"/>
      <c r="AB83" s="14"/>
      <c r="AC83" s="10"/>
      <c r="AD83" s="10"/>
      <c r="AE83" s="10"/>
      <c r="AF83" s="10"/>
      <c r="AG83" s="10"/>
      <c r="AH83" s="10"/>
      <c r="AI83" s="10"/>
      <c r="AJ83" s="10"/>
      <c r="AK83" s="15"/>
      <c r="AL83" s="238"/>
      <c r="AM83" s="14"/>
      <c r="AN83" s="10"/>
      <c r="AO83" s="10"/>
      <c r="AP83" s="10"/>
      <c r="AQ83" s="10"/>
      <c r="AR83" s="10"/>
      <c r="AS83" s="10"/>
      <c r="AT83" s="10"/>
      <c r="AU83" s="10"/>
      <c r="AV83" s="15"/>
      <c r="AW83" s="238"/>
      <c r="AX83" s="14"/>
      <c r="AY83" s="10"/>
      <c r="AZ83" s="10"/>
      <c r="BA83" s="10"/>
      <c r="BB83" s="10"/>
      <c r="BC83" s="10"/>
      <c r="BD83" s="10"/>
      <c r="BE83" s="10"/>
      <c r="BF83" s="10"/>
      <c r="BG83" s="15"/>
      <c r="BH83" s="238"/>
      <c r="BI83" s="14"/>
      <c r="BJ83" s="10"/>
      <c r="BK83" s="10"/>
      <c r="BL83" s="10"/>
      <c r="BM83" s="10"/>
      <c r="BN83" s="10"/>
      <c r="BO83" s="10"/>
      <c r="BP83" s="10"/>
      <c r="BQ83" s="10"/>
      <c r="BR83" s="15"/>
      <c r="BS83" s="238"/>
      <c r="BT83" s="14"/>
      <c r="BU83" s="10"/>
      <c r="BV83" s="10"/>
      <c r="BW83" s="10"/>
      <c r="BX83" s="10"/>
      <c r="BY83" s="10"/>
      <c r="BZ83" s="10"/>
      <c r="CA83" s="10"/>
      <c r="CB83" s="14"/>
      <c r="CC83" s="10"/>
      <c r="CD83" s="10"/>
      <c r="CE83" s="10"/>
      <c r="CF83" s="10"/>
      <c r="CG83" s="10"/>
      <c r="CH83" s="10"/>
      <c r="CI83" s="238"/>
      <c r="CJ83" s="14"/>
      <c r="CK83" s="10"/>
      <c r="CL83" s="10"/>
      <c r="CM83" s="10"/>
      <c r="CN83" s="10"/>
      <c r="CO83" s="10"/>
      <c r="CP83" s="10"/>
      <c r="CQ83" s="10"/>
      <c r="CR83" s="14"/>
      <c r="CS83" s="10"/>
      <c r="CT83" s="10"/>
      <c r="CU83" s="10"/>
      <c r="CV83" s="10"/>
      <c r="CW83" s="10"/>
      <c r="CX83" s="10"/>
      <c r="CY83" s="238"/>
      <c r="CZ83" s="14"/>
      <c r="DA83" s="10"/>
      <c r="DB83" s="10"/>
      <c r="DC83" s="10"/>
      <c r="DD83" s="10"/>
      <c r="DE83" s="10"/>
      <c r="DF83" s="10"/>
      <c r="DG83" s="10"/>
      <c r="DH83" s="14"/>
      <c r="DI83" s="10"/>
      <c r="DJ83" s="10"/>
      <c r="DK83" s="10"/>
      <c r="DL83" s="10"/>
      <c r="DM83" s="10"/>
      <c r="DN83" s="10"/>
      <c r="DO83" s="238"/>
      <c r="DP83" s="14"/>
      <c r="DQ83" s="10"/>
      <c r="DR83" s="10"/>
      <c r="DS83" s="10"/>
      <c r="DT83" s="10"/>
      <c r="DU83" s="10"/>
      <c r="DV83" s="10"/>
      <c r="DW83" s="10"/>
      <c r="DX83" s="14"/>
      <c r="DY83" s="10"/>
      <c r="DZ83" s="10"/>
      <c r="EA83" s="10"/>
      <c r="EB83" s="10"/>
      <c r="EC83" s="10"/>
      <c r="ED83" s="10"/>
      <c r="EE83" s="238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238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238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238"/>
      <c r="FP83" s="14"/>
      <c r="FQ83" s="14"/>
      <c r="FR83" s="14"/>
      <c r="FS83" s="14"/>
      <c r="FT83" s="14"/>
      <c r="FU83" s="238"/>
      <c r="FV83" s="14"/>
      <c r="FW83" s="14"/>
      <c r="FX83" s="14"/>
      <c r="FY83" s="14"/>
      <c r="FZ83" s="14"/>
      <c r="GA83" s="120"/>
      <c r="GB83" s="122" t="str">
        <f t="shared" si="36"/>
        <v/>
      </c>
      <c r="GC83" s="140" t="str">
        <f t="shared" si="37"/>
        <v/>
      </c>
      <c r="GD83" s="122">
        <f t="shared" si="38"/>
        <v>0</v>
      </c>
      <c r="GE83" s="122">
        <f t="shared" si="39"/>
        <v>0</v>
      </c>
      <c r="GF83" s="122">
        <f t="shared" si="40"/>
        <v>0</v>
      </c>
      <c r="GG83" s="122">
        <f t="shared" si="41"/>
        <v>0</v>
      </c>
      <c r="GH83" s="122">
        <f t="shared" si="42"/>
        <v>0</v>
      </c>
      <c r="GI83" s="122">
        <f t="shared" si="43"/>
        <v>0</v>
      </c>
      <c r="GJ83" s="122">
        <f t="shared" si="44"/>
        <v>0</v>
      </c>
      <c r="GK83" s="122">
        <f t="shared" si="45"/>
        <v>0</v>
      </c>
      <c r="GL83" s="122">
        <f t="shared" si="46"/>
        <v>0</v>
      </c>
      <c r="GM83" s="122">
        <f t="shared" si="47"/>
        <v>0</v>
      </c>
      <c r="GN83" s="122">
        <f t="shared" si="48"/>
        <v>0</v>
      </c>
      <c r="GO83" s="122">
        <f t="shared" si="49"/>
        <v>0</v>
      </c>
      <c r="GP83" s="122">
        <f t="shared" si="50"/>
        <v>0</v>
      </c>
      <c r="GQ83" s="122">
        <f t="shared" si="51"/>
        <v>0</v>
      </c>
      <c r="GR83" s="122">
        <f t="shared" si="52"/>
        <v>0</v>
      </c>
      <c r="GS83" s="123">
        <f t="shared" si="53"/>
        <v>0</v>
      </c>
      <c r="GT83"/>
      <c r="GU83"/>
      <c r="GV83"/>
      <c r="GW83" s="124"/>
      <c r="GX83" s="118"/>
      <c r="GY83" s="118"/>
      <c r="GZ83" s="118"/>
      <c r="HA83" s="118"/>
      <c r="HB83" s="118"/>
      <c r="HC83" s="118"/>
      <c r="HD83" s="118"/>
      <c r="HE83" s="118"/>
      <c r="HF83" s="118"/>
      <c r="HG83" s="118"/>
      <c r="HH83" s="118"/>
      <c r="HI83" s="118"/>
      <c r="HJ83" s="118"/>
      <c r="HK83" s="118"/>
      <c r="HL83" s="118"/>
    </row>
    <row r="84" spans="1:220" s="74" customFormat="1" ht="30" hidden="1" customHeight="1" x14ac:dyDescent="0.35">
      <c r="A84" s="119">
        <v>75</v>
      </c>
      <c r="B84" s="3"/>
      <c r="C84" s="6"/>
      <c r="D84" s="3"/>
      <c r="E84" s="246"/>
      <c r="F84" s="8"/>
      <c r="G84" s="8"/>
      <c r="H84" s="8"/>
      <c r="I84" s="8"/>
      <c r="J84" s="8"/>
      <c r="K84" s="8"/>
      <c r="L84" s="8"/>
      <c r="M84" s="8"/>
      <c r="N84" s="8"/>
      <c r="O84" s="9"/>
      <c r="P84" s="238"/>
      <c r="Q84" s="12"/>
      <c r="R84" s="8"/>
      <c r="S84" s="8"/>
      <c r="T84" s="8"/>
      <c r="U84" s="8"/>
      <c r="V84" s="8"/>
      <c r="W84" s="8"/>
      <c r="X84" s="8"/>
      <c r="Y84" s="8"/>
      <c r="Z84" s="13"/>
      <c r="AA84" s="238"/>
      <c r="AB84" s="12"/>
      <c r="AC84" s="8"/>
      <c r="AD84" s="8"/>
      <c r="AE84" s="8"/>
      <c r="AF84" s="8"/>
      <c r="AG84" s="8"/>
      <c r="AH84" s="8"/>
      <c r="AI84" s="8"/>
      <c r="AJ84" s="8"/>
      <c r="AK84" s="13"/>
      <c r="AL84" s="238"/>
      <c r="AM84" s="12"/>
      <c r="AN84" s="8"/>
      <c r="AO84" s="8"/>
      <c r="AP84" s="8"/>
      <c r="AQ84" s="8"/>
      <c r="AR84" s="8"/>
      <c r="AS84" s="8"/>
      <c r="AT84" s="8"/>
      <c r="AU84" s="8"/>
      <c r="AV84" s="13"/>
      <c r="AW84" s="238"/>
      <c r="AX84" s="12"/>
      <c r="AY84" s="8"/>
      <c r="AZ84" s="8"/>
      <c r="BA84" s="8"/>
      <c r="BB84" s="8"/>
      <c r="BC84" s="8"/>
      <c r="BD84" s="8"/>
      <c r="BE84" s="8"/>
      <c r="BF84" s="8"/>
      <c r="BG84" s="13"/>
      <c r="BH84" s="238"/>
      <c r="BI84" s="12"/>
      <c r="BJ84" s="8"/>
      <c r="BK84" s="8"/>
      <c r="BL84" s="8"/>
      <c r="BM84" s="8"/>
      <c r="BN84" s="8"/>
      <c r="BO84" s="8"/>
      <c r="BP84" s="8"/>
      <c r="BQ84" s="8"/>
      <c r="BR84" s="13"/>
      <c r="BS84" s="238"/>
      <c r="BT84" s="12"/>
      <c r="BU84" s="8"/>
      <c r="BV84" s="8"/>
      <c r="BW84" s="8"/>
      <c r="BX84" s="8"/>
      <c r="BY84" s="8"/>
      <c r="BZ84" s="8"/>
      <c r="CA84" s="8"/>
      <c r="CB84" s="12"/>
      <c r="CC84" s="8"/>
      <c r="CD84" s="8"/>
      <c r="CE84" s="8"/>
      <c r="CF84" s="8"/>
      <c r="CG84" s="8"/>
      <c r="CH84" s="8"/>
      <c r="CI84" s="238"/>
      <c r="CJ84" s="12"/>
      <c r="CK84" s="8"/>
      <c r="CL84" s="8"/>
      <c r="CM84" s="8"/>
      <c r="CN84" s="8"/>
      <c r="CO84" s="8"/>
      <c r="CP84" s="8"/>
      <c r="CQ84" s="8"/>
      <c r="CR84" s="12"/>
      <c r="CS84" s="8"/>
      <c r="CT84" s="8"/>
      <c r="CU84" s="8"/>
      <c r="CV84" s="8"/>
      <c r="CW84" s="8"/>
      <c r="CX84" s="8"/>
      <c r="CY84" s="238"/>
      <c r="CZ84" s="12"/>
      <c r="DA84" s="8"/>
      <c r="DB84" s="8"/>
      <c r="DC84" s="8"/>
      <c r="DD84" s="8"/>
      <c r="DE84" s="8"/>
      <c r="DF84" s="8"/>
      <c r="DG84" s="8"/>
      <c r="DH84" s="12"/>
      <c r="DI84" s="8"/>
      <c r="DJ84" s="8"/>
      <c r="DK84" s="8"/>
      <c r="DL84" s="8"/>
      <c r="DM84" s="8"/>
      <c r="DN84" s="8"/>
      <c r="DO84" s="238"/>
      <c r="DP84" s="12"/>
      <c r="DQ84" s="8"/>
      <c r="DR84" s="8"/>
      <c r="DS84" s="8"/>
      <c r="DT84" s="8"/>
      <c r="DU84" s="8"/>
      <c r="DV84" s="8"/>
      <c r="DW84" s="8"/>
      <c r="DX84" s="12"/>
      <c r="DY84" s="8"/>
      <c r="DZ84" s="8"/>
      <c r="EA84" s="8"/>
      <c r="EB84" s="8"/>
      <c r="EC84" s="8"/>
      <c r="ED84" s="8"/>
      <c r="EE84" s="238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238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238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238"/>
      <c r="FP84" s="12"/>
      <c r="FQ84" s="12"/>
      <c r="FR84" s="12"/>
      <c r="FS84" s="12"/>
      <c r="FT84" s="12"/>
      <c r="FU84" s="238"/>
      <c r="FV84" s="12"/>
      <c r="FW84" s="12"/>
      <c r="FX84" s="12"/>
      <c r="FY84" s="12"/>
      <c r="FZ84" s="12"/>
      <c r="GA84" s="120"/>
      <c r="GB84" s="118" t="str">
        <f t="shared" si="36"/>
        <v/>
      </c>
      <c r="GC84" s="139" t="str">
        <f t="shared" si="37"/>
        <v/>
      </c>
      <c r="GD84" s="118">
        <f t="shared" si="38"/>
        <v>0</v>
      </c>
      <c r="GE84" s="118">
        <f t="shared" si="39"/>
        <v>0</v>
      </c>
      <c r="GF84" s="118">
        <f t="shared" si="40"/>
        <v>0</v>
      </c>
      <c r="GG84" s="118">
        <f t="shared" si="41"/>
        <v>0</v>
      </c>
      <c r="GH84" s="118">
        <f t="shared" si="42"/>
        <v>0</v>
      </c>
      <c r="GI84" s="118">
        <f t="shared" si="43"/>
        <v>0</v>
      </c>
      <c r="GJ84" s="118">
        <f t="shared" si="44"/>
        <v>0</v>
      </c>
      <c r="GK84" s="118">
        <f t="shared" si="45"/>
        <v>0</v>
      </c>
      <c r="GL84" s="118">
        <f t="shared" si="46"/>
        <v>0</v>
      </c>
      <c r="GM84" s="118">
        <f t="shared" si="47"/>
        <v>0</v>
      </c>
      <c r="GN84" s="118">
        <f t="shared" si="48"/>
        <v>0</v>
      </c>
      <c r="GO84" s="118">
        <f t="shared" si="49"/>
        <v>0</v>
      </c>
      <c r="GP84" s="118">
        <f t="shared" si="50"/>
        <v>0</v>
      </c>
      <c r="GQ84" s="118">
        <f t="shared" si="51"/>
        <v>0</v>
      </c>
      <c r="GR84" s="118">
        <f t="shared" si="52"/>
        <v>0</v>
      </c>
      <c r="GS84" s="121">
        <f t="shared" si="53"/>
        <v>0</v>
      </c>
      <c r="GT84"/>
      <c r="GU84"/>
      <c r="GV84"/>
      <c r="GW84" s="124"/>
      <c r="GX84" s="118"/>
      <c r="GY84" s="118"/>
      <c r="GZ84" s="118"/>
      <c r="HA84" s="118"/>
      <c r="HB84" s="118"/>
      <c r="HC84" s="118"/>
      <c r="HD84" s="118"/>
      <c r="HE84" s="118"/>
      <c r="HF84" s="118"/>
      <c r="HG84" s="118"/>
      <c r="HH84" s="118"/>
      <c r="HI84" s="118"/>
      <c r="HJ84" s="118"/>
      <c r="HK84" s="118"/>
      <c r="HL84" s="118"/>
    </row>
    <row r="85" spans="1:220" s="74" customFormat="1" ht="30" hidden="1" customHeight="1" x14ac:dyDescent="0.35">
      <c r="A85" s="119">
        <v>76</v>
      </c>
      <c r="B85" s="4"/>
      <c r="C85" s="7"/>
      <c r="D85" s="4"/>
      <c r="E85" s="246"/>
      <c r="F85" s="10"/>
      <c r="G85" s="10"/>
      <c r="H85" s="10"/>
      <c r="I85" s="10"/>
      <c r="J85" s="10"/>
      <c r="K85" s="10"/>
      <c r="L85" s="10"/>
      <c r="M85" s="10"/>
      <c r="N85" s="10"/>
      <c r="O85" s="11"/>
      <c r="P85" s="238"/>
      <c r="Q85" s="14"/>
      <c r="R85" s="10"/>
      <c r="S85" s="10"/>
      <c r="T85" s="10"/>
      <c r="U85" s="10"/>
      <c r="V85" s="10"/>
      <c r="W85" s="10"/>
      <c r="X85" s="10"/>
      <c r="Y85" s="10"/>
      <c r="Z85" s="15"/>
      <c r="AA85" s="238"/>
      <c r="AB85" s="14"/>
      <c r="AC85" s="10"/>
      <c r="AD85" s="10"/>
      <c r="AE85" s="10"/>
      <c r="AF85" s="10"/>
      <c r="AG85" s="10"/>
      <c r="AH85" s="10"/>
      <c r="AI85" s="10"/>
      <c r="AJ85" s="10"/>
      <c r="AK85" s="15"/>
      <c r="AL85" s="238"/>
      <c r="AM85" s="14"/>
      <c r="AN85" s="10"/>
      <c r="AO85" s="10"/>
      <c r="AP85" s="10"/>
      <c r="AQ85" s="10"/>
      <c r="AR85" s="10"/>
      <c r="AS85" s="10"/>
      <c r="AT85" s="10"/>
      <c r="AU85" s="10"/>
      <c r="AV85" s="15"/>
      <c r="AW85" s="238"/>
      <c r="AX85" s="14"/>
      <c r="AY85" s="10"/>
      <c r="AZ85" s="10"/>
      <c r="BA85" s="10"/>
      <c r="BB85" s="10"/>
      <c r="BC85" s="10"/>
      <c r="BD85" s="10"/>
      <c r="BE85" s="10"/>
      <c r="BF85" s="10"/>
      <c r="BG85" s="15"/>
      <c r="BH85" s="238"/>
      <c r="BI85" s="14"/>
      <c r="BJ85" s="10"/>
      <c r="BK85" s="10"/>
      <c r="BL85" s="10"/>
      <c r="BM85" s="10"/>
      <c r="BN85" s="10"/>
      <c r="BO85" s="10"/>
      <c r="BP85" s="10"/>
      <c r="BQ85" s="10"/>
      <c r="BR85" s="15"/>
      <c r="BS85" s="238"/>
      <c r="BT85" s="14"/>
      <c r="BU85" s="10"/>
      <c r="BV85" s="10"/>
      <c r="BW85" s="10"/>
      <c r="BX85" s="10"/>
      <c r="BY85" s="10"/>
      <c r="BZ85" s="10"/>
      <c r="CA85" s="10"/>
      <c r="CB85" s="14"/>
      <c r="CC85" s="10"/>
      <c r="CD85" s="10"/>
      <c r="CE85" s="10"/>
      <c r="CF85" s="10"/>
      <c r="CG85" s="10"/>
      <c r="CH85" s="10"/>
      <c r="CI85" s="238"/>
      <c r="CJ85" s="14"/>
      <c r="CK85" s="10"/>
      <c r="CL85" s="10"/>
      <c r="CM85" s="10"/>
      <c r="CN85" s="10"/>
      <c r="CO85" s="10"/>
      <c r="CP85" s="10"/>
      <c r="CQ85" s="10"/>
      <c r="CR85" s="14"/>
      <c r="CS85" s="10"/>
      <c r="CT85" s="10"/>
      <c r="CU85" s="10"/>
      <c r="CV85" s="10"/>
      <c r="CW85" s="10"/>
      <c r="CX85" s="10"/>
      <c r="CY85" s="238"/>
      <c r="CZ85" s="14"/>
      <c r="DA85" s="10"/>
      <c r="DB85" s="10"/>
      <c r="DC85" s="10"/>
      <c r="DD85" s="10"/>
      <c r="DE85" s="10"/>
      <c r="DF85" s="10"/>
      <c r="DG85" s="10"/>
      <c r="DH85" s="14"/>
      <c r="DI85" s="10"/>
      <c r="DJ85" s="10"/>
      <c r="DK85" s="10"/>
      <c r="DL85" s="10"/>
      <c r="DM85" s="10"/>
      <c r="DN85" s="10"/>
      <c r="DO85" s="238"/>
      <c r="DP85" s="14"/>
      <c r="DQ85" s="10"/>
      <c r="DR85" s="10"/>
      <c r="DS85" s="10"/>
      <c r="DT85" s="10"/>
      <c r="DU85" s="10"/>
      <c r="DV85" s="10"/>
      <c r="DW85" s="10"/>
      <c r="DX85" s="14"/>
      <c r="DY85" s="10"/>
      <c r="DZ85" s="10"/>
      <c r="EA85" s="10"/>
      <c r="EB85" s="10"/>
      <c r="EC85" s="10"/>
      <c r="ED85" s="10"/>
      <c r="EE85" s="238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238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238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238"/>
      <c r="FP85" s="14"/>
      <c r="FQ85" s="14"/>
      <c r="FR85" s="14"/>
      <c r="FS85" s="14"/>
      <c r="FT85" s="14"/>
      <c r="FU85" s="238"/>
      <c r="FV85" s="14"/>
      <c r="FW85" s="14"/>
      <c r="FX85" s="14"/>
      <c r="FY85" s="14"/>
      <c r="FZ85" s="14"/>
      <c r="GA85" s="120"/>
      <c r="GB85" s="122" t="str">
        <f t="shared" si="36"/>
        <v/>
      </c>
      <c r="GC85" s="140" t="str">
        <f t="shared" si="37"/>
        <v/>
      </c>
      <c r="GD85" s="122">
        <f t="shared" si="38"/>
        <v>0</v>
      </c>
      <c r="GE85" s="122">
        <f t="shared" si="39"/>
        <v>0</v>
      </c>
      <c r="GF85" s="122">
        <f t="shared" si="40"/>
        <v>0</v>
      </c>
      <c r="GG85" s="122">
        <f t="shared" si="41"/>
        <v>0</v>
      </c>
      <c r="GH85" s="122">
        <f t="shared" si="42"/>
        <v>0</v>
      </c>
      <c r="GI85" s="122">
        <f t="shared" si="43"/>
        <v>0</v>
      </c>
      <c r="GJ85" s="122">
        <f t="shared" si="44"/>
        <v>0</v>
      </c>
      <c r="GK85" s="122">
        <f t="shared" si="45"/>
        <v>0</v>
      </c>
      <c r="GL85" s="122">
        <f t="shared" si="46"/>
        <v>0</v>
      </c>
      <c r="GM85" s="122">
        <f t="shared" si="47"/>
        <v>0</v>
      </c>
      <c r="GN85" s="122">
        <f t="shared" si="48"/>
        <v>0</v>
      </c>
      <c r="GO85" s="122">
        <f t="shared" si="49"/>
        <v>0</v>
      </c>
      <c r="GP85" s="122">
        <f t="shared" si="50"/>
        <v>0</v>
      </c>
      <c r="GQ85" s="122">
        <f t="shared" si="51"/>
        <v>0</v>
      </c>
      <c r="GR85" s="122">
        <f t="shared" si="52"/>
        <v>0</v>
      </c>
      <c r="GS85" s="123">
        <f t="shared" si="53"/>
        <v>0</v>
      </c>
      <c r="GT85"/>
      <c r="GU85"/>
      <c r="GV85"/>
      <c r="GW85" s="124"/>
      <c r="GX85" s="118"/>
      <c r="GY85" s="118"/>
      <c r="GZ85" s="118"/>
      <c r="HA85" s="118"/>
      <c r="HB85" s="118"/>
      <c r="HC85" s="118"/>
      <c r="HD85" s="118"/>
      <c r="HE85" s="118"/>
      <c r="HF85" s="118"/>
      <c r="HG85" s="118"/>
      <c r="HH85" s="118"/>
      <c r="HI85" s="118"/>
      <c r="HJ85" s="118"/>
      <c r="HK85" s="118"/>
      <c r="HL85" s="118"/>
    </row>
    <row r="86" spans="1:220" s="74" customFormat="1" ht="30" hidden="1" customHeight="1" x14ac:dyDescent="0.35">
      <c r="A86" s="119">
        <v>77</v>
      </c>
      <c r="B86" s="3"/>
      <c r="C86" s="6"/>
      <c r="D86" s="3"/>
      <c r="E86" s="246"/>
      <c r="F86" s="8"/>
      <c r="G86" s="8"/>
      <c r="H86" s="8"/>
      <c r="I86" s="8"/>
      <c r="J86" s="8"/>
      <c r="K86" s="8"/>
      <c r="L86" s="8"/>
      <c r="M86" s="8"/>
      <c r="N86" s="8"/>
      <c r="O86" s="9"/>
      <c r="P86" s="238"/>
      <c r="Q86" s="12"/>
      <c r="R86" s="8"/>
      <c r="S86" s="8"/>
      <c r="T86" s="8"/>
      <c r="U86" s="8"/>
      <c r="V86" s="8"/>
      <c r="W86" s="8"/>
      <c r="X86" s="8"/>
      <c r="Y86" s="8"/>
      <c r="Z86" s="13"/>
      <c r="AA86" s="238"/>
      <c r="AB86" s="12"/>
      <c r="AC86" s="8"/>
      <c r="AD86" s="8"/>
      <c r="AE86" s="8"/>
      <c r="AF86" s="8"/>
      <c r="AG86" s="8"/>
      <c r="AH86" s="8"/>
      <c r="AI86" s="8"/>
      <c r="AJ86" s="8"/>
      <c r="AK86" s="13"/>
      <c r="AL86" s="238"/>
      <c r="AM86" s="12"/>
      <c r="AN86" s="8"/>
      <c r="AO86" s="8"/>
      <c r="AP86" s="8"/>
      <c r="AQ86" s="8"/>
      <c r="AR86" s="8"/>
      <c r="AS86" s="8"/>
      <c r="AT86" s="8"/>
      <c r="AU86" s="8"/>
      <c r="AV86" s="13"/>
      <c r="AW86" s="238"/>
      <c r="AX86" s="12"/>
      <c r="AY86" s="8"/>
      <c r="AZ86" s="8"/>
      <c r="BA86" s="8"/>
      <c r="BB86" s="8"/>
      <c r="BC86" s="8"/>
      <c r="BD86" s="8"/>
      <c r="BE86" s="8"/>
      <c r="BF86" s="8"/>
      <c r="BG86" s="13"/>
      <c r="BH86" s="238"/>
      <c r="BI86" s="12"/>
      <c r="BJ86" s="8"/>
      <c r="BK86" s="8"/>
      <c r="BL86" s="8"/>
      <c r="BM86" s="8"/>
      <c r="BN86" s="8"/>
      <c r="BO86" s="8"/>
      <c r="BP86" s="8"/>
      <c r="BQ86" s="8"/>
      <c r="BR86" s="13"/>
      <c r="BS86" s="238"/>
      <c r="BT86" s="12"/>
      <c r="BU86" s="8"/>
      <c r="BV86" s="8"/>
      <c r="BW86" s="8"/>
      <c r="BX86" s="8"/>
      <c r="BY86" s="8"/>
      <c r="BZ86" s="8"/>
      <c r="CA86" s="8"/>
      <c r="CB86" s="12"/>
      <c r="CC86" s="8"/>
      <c r="CD86" s="8"/>
      <c r="CE86" s="8"/>
      <c r="CF86" s="8"/>
      <c r="CG86" s="8"/>
      <c r="CH86" s="8"/>
      <c r="CI86" s="238"/>
      <c r="CJ86" s="12"/>
      <c r="CK86" s="8"/>
      <c r="CL86" s="8"/>
      <c r="CM86" s="8"/>
      <c r="CN86" s="8"/>
      <c r="CO86" s="8"/>
      <c r="CP86" s="8"/>
      <c r="CQ86" s="8"/>
      <c r="CR86" s="12"/>
      <c r="CS86" s="8"/>
      <c r="CT86" s="8"/>
      <c r="CU86" s="8"/>
      <c r="CV86" s="8"/>
      <c r="CW86" s="8"/>
      <c r="CX86" s="8"/>
      <c r="CY86" s="238"/>
      <c r="CZ86" s="12"/>
      <c r="DA86" s="8"/>
      <c r="DB86" s="8"/>
      <c r="DC86" s="8"/>
      <c r="DD86" s="8"/>
      <c r="DE86" s="8"/>
      <c r="DF86" s="8"/>
      <c r="DG86" s="8"/>
      <c r="DH86" s="12"/>
      <c r="DI86" s="8"/>
      <c r="DJ86" s="8"/>
      <c r="DK86" s="8"/>
      <c r="DL86" s="8"/>
      <c r="DM86" s="8"/>
      <c r="DN86" s="8"/>
      <c r="DO86" s="238"/>
      <c r="DP86" s="12"/>
      <c r="DQ86" s="8"/>
      <c r="DR86" s="8"/>
      <c r="DS86" s="8"/>
      <c r="DT86" s="8"/>
      <c r="DU86" s="8"/>
      <c r="DV86" s="8"/>
      <c r="DW86" s="8"/>
      <c r="DX86" s="12"/>
      <c r="DY86" s="8"/>
      <c r="DZ86" s="8"/>
      <c r="EA86" s="8"/>
      <c r="EB86" s="8"/>
      <c r="EC86" s="8"/>
      <c r="ED86" s="8"/>
      <c r="EE86" s="238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238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238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238"/>
      <c r="FP86" s="12"/>
      <c r="FQ86" s="12"/>
      <c r="FR86" s="12"/>
      <c r="FS86" s="12"/>
      <c r="FT86" s="12"/>
      <c r="FU86" s="238"/>
      <c r="FV86" s="12"/>
      <c r="FW86" s="12"/>
      <c r="FX86" s="12"/>
      <c r="FY86" s="12"/>
      <c r="FZ86" s="12"/>
      <c r="GA86" s="120"/>
      <c r="GB86" s="118" t="str">
        <f t="shared" si="36"/>
        <v/>
      </c>
      <c r="GC86" s="139" t="str">
        <f t="shared" si="37"/>
        <v/>
      </c>
      <c r="GD86" s="118">
        <f t="shared" si="38"/>
        <v>0</v>
      </c>
      <c r="GE86" s="118">
        <f t="shared" si="39"/>
        <v>0</v>
      </c>
      <c r="GF86" s="118">
        <f t="shared" si="40"/>
        <v>0</v>
      </c>
      <c r="GG86" s="118">
        <f t="shared" si="41"/>
        <v>0</v>
      </c>
      <c r="GH86" s="118">
        <f t="shared" si="42"/>
        <v>0</v>
      </c>
      <c r="GI86" s="118">
        <f t="shared" si="43"/>
        <v>0</v>
      </c>
      <c r="GJ86" s="118">
        <f t="shared" si="44"/>
        <v>0</v>
      </c>
      <c r="GK86" s="118">
        <f t="shared" si="45"/>
        <v>0</v>
      </c>
      <c r="GL86" s="118">
        <f t="shared" si="46"/>
        <v>0</v>
      </c>
      <c r="GM86" s="118">
        <f t="shared" si="47"/>
        <v>0</v>
      </c>
      <c r="GN86" s="118">
        <f t="shared" si="48"/>
        <v>0</v>
      </c>
      <c r="GO86" s="118">
        <f t="shared" si="49"/>
        <v>0</v>
      </c>
      <c r="GP86" s="118">
        <f t="shared" si="50"/>
        <v>0</v>
      </c>
      <c r="GQ86" s="118">
        <f t="shared" si="51"/>
        <v>0</v>
      </c>
      <c r="GR86" s="118">
        <f t="shared" si="52"/>
        <v>0</v>
      </c>
      <c r="GS86" s="121">
        <f t="shared" si="53"/>
        <v>0</v>
      </c>
      <c r="GT86"/>
      <c r="GU86"/>
      <c r="GV86"/>
      <c r="GW86" s="124"/>
      <c r="GX86" s="118"/>
      <c r="GY86" s="118"/>
      <c r="GZ86" s="118"/>
      <c r="HA86" s="118"/>
      <c r="HB86" s="118"/>
      <c r="HC86" s="118"/>
      <c r="HD86" s="118"/>
      <c r="HE86" s="118"/>
      <c r="HF86" s="118"/>
      <c r="HG86" s="118"/>
      <c r="HH86" s="118"/>
      <c r="HI86" s="118"/>
      <c r="HJ86" s="118"/>
      <c r="HK86" s="118"/>
      <c r="HL86" s="118"/>
    </row>
    <row r="87" spans="1:220" s="74" customFormat="1" ht="30" hidden="1" customHeight="1" x14ac:dyDescent="0.35">
      <c r="A87" s="119">
        <v>78</v>
      </c>
      <c r="B87" s="4"/>
      <c r="C87" s="7"/>
      <c r="D87" s="4"/>
      <c r="E87" s="246"/>
      <c r="F87" s="10"/>
      <c r="G87" s="10"/>
      <c r="H87" s="10"/>
      <c r="I87" s="10"/>
      <c r="J87" s="10"/>
      <c r="K87" s="10"/>
      <c r="L87" s="10"/>
      <c r="M87" s="10"/>
      <c r="N87" s="10"/>
      <c r="O87" s="11"/>
      <c r="P87" s="238"/>
      <c r="Q87" s="14"/>
      <c r="R87" s="10"/>
      <c r="S87" s="10"/>
      <c r="T87" s="10"/>
      <c r="U87" s="10"/>
      <c r="V87" s="10"/>
      <c r="W87" s="10"/>
      <c r="X87" s="10"/>
      <c r="Y87" s="10"/>
      <c r="Z87" s="15"/>
      <c r="AA87" s="238"/>
      <c r="AB87" s="14"/>
      <c r="AC87" s="10"/>
      <c r="AD87" s="10"/>
      <c r="AE87" s="10"/>
      <c r="AF87" s="10"/>
      <c r="AG87" s="10"/>
      <c r="AH87" s="10"/>
      <c r="AI87" s="10"/>
      <c r="AJ87" s="10"/>
      <c r="AK87" s="15"/>
      <c r="AL87" s="238"/>
      <c r="AM87" s="14"/>
      <c r="AN87" s="10"/>
      <c r="AO87" s="10"/>
      <c r="AP87" s="10"/>
      <c r="AQ87" s="10"/>
      <c r="AR87" s="10"/>
      <c r="AS87" s="10"/>
      <c r="AT87" s="10"/>
      <c r="AU87" s="10"/>
      <c r="AV87" s="15"/>
      <c r="AW87" s="238"/>
      <c r="AX87" s="14"/>
      <c r="AY87" s="10"/>
      <c r="AZ87" s="10"/>
      <c r="BA87" s="10"/>
      <c r="BB87" s="10"/>
      <c r="BC87" s="10"/>
      <c r="BD87" s="10"/>
      <c r="BE87" s="10"/>
      <c r="BF87" s="10"/>
      <c r="BG87" s="15"/>
      <c r="BH87" s="238"/>
      <c r="BI87" s="14"/>
      <c r="BJ87" s="10"/>
      <c r="BK87" s="10"/>
      <c r="BL87" s="10"/>
      <c r="BM87" s="10"/>
      <c r="BN87" s="10"/>
      <c r="BO87" s="10"/>
      <c r="BP87" s="10"/>
      <c r="BQ87" s="10"/>
      <c r="BR87" s="15"/>
      <c r="BS87" s="238"/>
      <c r="BT87" s="14"/>
      <c r="BU87" s="10"/>
      <c r="BV87" s="10"/>
      <c r="BW87" s="10"/>
      <c r="BX87" s="10"/>
      <c r="BY87" s="10"/>
      <c r="BZ87" s="10"/>
      <c r="CA87" s="10"/>
      <c r="CB87" s="14"/>
      <c r="CC87" s="10"/>
      <c r="CD87" s="10"/>
      <c r="CE87" s="10"/>
      <c r="CF87" s="10"/>
      <c r="CG87" s="10"/>
      <c r="CH87" s="10"/>
      <c r="CI87" s="238"/>
      <c r="CJ87" s="14"/>
      <c r="CK87" s="10"/>
      <c r="CL87" s="10"/>
      <c r="CM87" s="10"/>
      <c r="CN87" s="10"/>
      <c r="CO87" s="10"/>
      <c r="CP87" s="10"/>
      <c r="CQ87" s="10"/>
      <c r="CR87" s="14"/>
      <c r="CS87" s="10"/>
      <c r="CT87" s="10"/>
      <c r="CU87" s="10"/>
      <c r="CV87" s="10"/>
      <c r="CW87" s="10"/>
      <c r="CX87" s="10"/>
      <c r="CY87" s="238"/>
      <c r="CZ87" s="14"/>
      <c r="DA87" s="10"/>
      <c r="DB87" s="10"/>
      <c r="DC87" s="10"/>
      <c r="DD87" s="10"/>
      <c r="DE87" s="10"/>
      <c r="DF87" s="10"/>
      <c r="DG87" s="10"/>
      <c r="DH87" s="14"/>
      <c r="DI87" s="10"/>
      <c r="DJ87" s="10"/>
      <c r="DK87" s="10"/>
      <c r="DL87" s="10"/>
      <c r="DM87" s="10"/>
      <c r="DN87" s="10"/>
      <c r="DO87" s="238"/>
      <c r="DP87" s="14"/>
      <c r="DQ87" s="10"/>
      <c r="DR87" s="10"/>
      <c r="DS87" s="10"/>
      <c r="DT87" s="10"/>
      <c r="DU87" s="10"/>
      <c r="DV87" s="10"/>
      <c r="DW87" s="10"/>
      <c r="DX87" s="14"/>
      <c r="DY87" s="10"/>
      <c r="DZ87" s="10"/>
      <c r="EA87" s="10"/>
      <c r="EB87" s="10"/>
      <c r="EC87" s="10"/>
      <c r="ED87" s="10"/>
      <c r="EE87" s="238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238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238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238"/>
      <c r="FP87" s="14"/>
      <c r="FQ87" s="14"/>
      <c r="FR87" s="14"/>
      <c r="FS87" s="14"/>
      <c r="FT87" s="14"/>
      <c r="FU87" s="238"/>
      <c r="FV87" s="14"/>
      <c r="FW87" s="14"/>
      <c r="FX87" s="14"/>
      <c r="FY87" s="14"/>
      <c r="FZ87" s="14"/>
      <c r="GA87" s="120"/>
      <c r="GB87" s="122" t="str">
        <f t="shared" si="36"/>
        <v/>
      </c>
      <c r="GC87" s="140" t="str">
        <f t="shared" si="37"/>
        <v/>
      </c>
      <c r="GD87" s="122">
        <f t="shared" si="38"/>
        <v>0</v>
      </c>
      <c r="GE87" s="122">
        <f t="shared" si="39"/>
        <v>0</v>
      </c>
      <c r="GF87" s="122">
        <f t="shared" si="40"/>
        <v>0</v>
      </c>
      <c r="GG87" s="122">
        <f t="shared" si="41"/>
        <v>0</v>
      </c>
      <c r="GH87" s="122">
        <f t="shared" si="42"/>
        <v>0</v>
      </c>
      <c r="GI87" s="122">
        <f t="shared" si="43"/>
        <v>0</v>
      </c>
      <c r="GJ87" s="122">
        <f t="shared" si="44"/>
        <v>0</v>
      </c>
      <c r="GK87" s="122">
        <f t="shared" si="45"/>
        <v>0</v>
      </c>
      <c r="GL87" s="122">
        <f t="shared" si="46"/>
        <v>0</v>
      </c>
      <c r="GM87" s="122">
        <f t="shared" si="47"/>
        <v>0</v>
      </c>
      <c r="GN87" s="122">
        <f t="shared" si="48"/>
        <v>0</v>
      </c>
      <c r="GO87" s="122">
        <f t="shared" si="49"/>
        <v>0</v>
      </c>
      <c r="GP87" s="122">
        <f t="shared" si="50"/>
        <v>0</v>
      </c>
      <c r="GQ87" s="122">
        <f t="shared" si="51"/>
        <v>0</v>
      </c>
      <c r="GR87" s="122">
        <f t="shared" si="52"/>
        <v>0</v>
      </c>
      <c r="GS87" s="123">
        <f t="shared" si="53"/>
        <v>0</v>
      </c>
      <c r="GT87"/>
      <c r="GU87"/>
      <c r="GV87"/>
      <c r="GW87" s="124"/>
      <c r="GX87" s="118"/>
      <c r="GY87" s="118"/>
      <c r="GZ87" s="118"/>
      <c r="HA87" s="118"/>
      <c r="HB87" s="118"/>
      <c r="HC87" s="118"/>
      <c r="HD87" s="118"/>
      <c r="HE87" s="118"/>
      <c r="HF87" s="118"/>
      <c r="HG87" s="118"/>
      <c r="HH87" s="118"/>
      <c r="HI87" s="118"/>
      <c r="HJ87" s="118"/>
      <c r="HK87" s="118"/>
      <c r="HL87" s="118"/>
    </row>
    <row r="88" spans="1:220" s="74" customFormat="1" ht="30" hidden="1" customHeight="1" x14ac:dyDescent="0.35">
      <c r="A88" s="119">
        <v>79</v>
      </c>
      <c r="B88" s="3"/>
      <c r="C88" s="6"/>
      <c r="D88" s="3"/>
      <c r="E88" s="246"/>
      <c r="F88" s="8"/>
      <c r="G88" s="8"/>
      <c r="H88" s="8"/>
      <c r="I88" s="8"/>
      <c r="J88" s="8"/>
      <c r="K88" s="8"/>
      <c r="L88" s="8"/>
      <c r="M88" s="8"/>
      <c r="N88" s="8"/>
      <c r="O88" s="9"/>
      <c r="P88" s="238"/>
      <c r="Q88" s="12"/>
      <c r="R88" s="8"/>
      <c r="S88" s="8"/>
      <c r="T88" s="8"/>
      <c r="U88" s="8"/>
      <c r="V88" s="8"/>
      <c r="W88" s="8"/>
      <c r="X88" s="8"/>
      <c r="Y88" s="8"/>
      <c r="Z88" s="13"/>
      <c r="AA88" s="238"/>
      <c r="AB88" s="12"/>
      <c r="AC88" s="8"/>
      <c r="AD88" s="8"/>
      <c r="AE88" s="8"/>
      <c r="AF88" s="8"/>
      <c r="AG88" s="8"/>
      <c r="AH88" s="8"/>
      <c r="AI88" s="8"/>
      <c r="AJ88" s="8"/>
      <c r="AK88" s="13"/>
      <c r="AL88" s="238"/>
      <c r="AM88" s="12"/>
      <c r="AN88" s="8"/>
      <c r="AO88" s="8"/>
      <c r="AP88" s="8"/>
      <c r="AQ88" s="8"/>
      <c r="AR88" s="8"/>
      <c r="AS88" s="8"/>
      <c r="AT88" s="8"/>
      <c r="AU88" s="8"/>
      <c r="AV88" s="13"/>
      <c r="AW88" s="238"/>
      <c r="AX88" s="12"/>
      <c r="AY88" s="8"/>
      <c r="AZ88" s="8"/>
      <c r="BA88" s="8"/>
      <c r="BB88" s="8"/>
      <c r="BC88" s="8"/>
      <c r="BD88" s="8"/>
      <c r="BE88" s="8"/>
      <c r="BF88" s="8"/>
      <c r="BG88" s="13"/>
      <c r="BH88" s="238"/>
      <c r="BI88" s="12"/>
      <c r="BJ88" s="8"/>
      <c r="BK88" s="8"/>
      <c r="BL88" s="8"/>
      <c r="BM88" s="8"/>
      <c r="BN88" s="8"/>
      <c r="BO88" s="8"/>
      <c r="BP88" s="8"/>
      <c r="BQ88" s="8"/>
      <c r="BR88" s="13"/>
      <c r="BS88" s="238"/>
      <c r="BT88" s="12"/>
      <c r="BU88" s="8"/>
      <c r="BV88" s="8"/>
      <c r="BW88" s="8"/>
      <c r="BX88" s="8"/>
      <c r="BY88" s="8"/>
      <c r="BZ88" s="8"/>
      <c r="CA88" s="8"/>
      <c r="CB88" s="12"/>
      <c r="CC88" s="8"/>
      <c r="CD88" s="8"/>
      <c r="CE88" s="8"/>
      <c r="CF88" s="8"/>
      <c r="CG88" s="8"/>
      <c r="CH88" s="8"/>
      <c r="CI88" s="238"/>
      <c r="CJ88" s="12"/>
      <c r="CK88" s="8"/>
      <c r="CL88" s="8"/>
      <c r="CM88" s="8"/>
      <c r="CN88" s="8"/>
      <c r="CO88" s="8"/>
      <c r="CP88" s="8"/>
      <c r="CQ88" s="8"/>
      <c r="CR88" s="12"/>
      <c r="CS88" s="8"/>
      <c r="CT88" s="8"/>
      <c r="CU88" s="8"/>
      <c r="CV88" s="8"/>
      <c r="CW88" s="8"/>
      <c r="CX88" s="8"/>
      <c r="CY88" s="238"/>
      <c r="CZ88" s="12"/>
      <c r="DA88" s="8"/>
      <c r="DB88" s="8"/>
      <c r="DC88" s="8"/>
      <c r="DD88" s="8"/>
      <c r="DE88" s="8"/>
      <c r="DF88" s="8"/>
      <c r="DG88" s="8"/>
      <c r="DH88" s="12"/>
      <c r="DI88" s="8"/>
      <c r="DJ88" s="8"/>
      <c r="DK88" s="8"/>
      <c r="DL88" s="8"/>
      <c r="DM88" s="8"/>
      <c r="DN88" s="8"/>
      <c r="DO88" s="238"/>
      <c r="DP88" s="12"/>
      <c r="DQ88" s="8"/>
      <c r="DR88" s="8"/>
      <c r="DS88" s="8"/>
      <c r="DT88" s="8"/>
      <c r="DU88" s="8"/>
      <c r="DV88" s="8"/>
      <c r="DW88" s="8"/>
      <c r="DX88" s="12"/>
      <c r="DY88" s="8"/>
      <c r="DZ88" s="8"/>
      <c r="EA88" s="8"/>
      <c r="EB88" s="8"/>
      <c r="EC88" s="8"/>
      <c r="ED88" s="8"/>
      <c r="EE88" s="238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238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238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238"/>
      <c r="FP88" s="12"/>
      <c r="FQ88" s="12"/>
      <c r="FR88" s="12"/>
      <c r="FS88" s="12"/>
      <c r="FT88" s="12"/>
      <c r="FU88" s="238"/>
      <c r="FV88" s="12"/>
      <c r="FW88" s="12"/>
      <c r="FX88" s="12"/>
      <c r="FY88" s="12"/>
      <c r="FZ88" s="12"/>
      <c r="GA88" s="120"/>
      <c r="GB88" s="118" t="str">
        <f t="shared" si="36"/>
        <v/>
      </c>
      <c r="GC88" s="139" t="str">
        <f t="shared" si="37"/>
        <v/>
      </c>
      <c r="GD88" s="118">
        <f t="shared" si="38"/>
        <v>0</v>
      </c>
      <c r="GE88" s="118">
        <f t="shared" si="39"/>
        <v>0</v>
      </c>
      <c r="GF88" s="118">
        <f t="shared" si="40"/>
        <v>0</v>
      </c>
      <c r="GG88" s="118">
        <f t="shared" si="41"/>
        <v>0</v>
      </c>
      <c r="GH88" s="118">
        <f t="shared" si="42"/>
        <v>0</v>
      </c>
      <c r="GI88" s="118">
        <f t="shared" si="43"/>
        <v>0</v>
      </c>
      <c r="GJ88" s="118">
        <f t="shared" si="44"/>
        <v>0</v>
      </c>
      <c r="GK88" s="118">
        <f t="shared" si="45"/>
        <v>0</v>
      </c>
      <c r="GL88" s="118">
        <f t="shared" si="46"/>
        <v>0</v>
      </c>
      <c r="GM88" s="118">
        <f t="shared" si="47"/>
        <v>0</v>
      </c>
      <c r="GN88" s="118">
        <f t="shared" si="48"/>
        <v>0</v>
      </c>
      <c r="GO88" s="118">
        <f t="shared" si="49"/>
        <v>0</v>
      </c>
      <c r="GP88" s="118">
        <f t="shared" si="50"/>
        <v>0</v>
      </c>
      <c r="GQ88" s="118">
        <f t="shared" si="51"/>
        <v>0</v>
      </c>
      <c r="GR88" s="118">
        <f t="shared" si="52"/>
        <v>0</v>
      </c>
      <c r="GS88" s="121">
        <f t="shared" si="53"/>
        <v>0</v>
      </c>
      <c r="GT88"/>
      <c r="GU88"/>
      <c r="GV88"/>
      <c r="GW88" s="124"/>
      <c r="GX88" s="118"/>
      <c r="GY88" s="118"/>
      <c r="GZ88" s="118"/>
      <c r="HA88" s="118"/>
      <c r="HB88" s="118"/>
      <c r="HC88" s="118"/>
      <c r="HD88" s="118"/>
      <c r="HE88" s="118"/>
      <c r="HF88" s="118"/>
      <c r="HG88" s="118"/>
      <c r="HH88" s="118"/>
      <c r="HI88" s="118"/>
      <c r="HJ88" s="118"/>
      <c r="HK88" s="118"/>
      <c r="HL88" s="118"/>
    </row>
    <row r="89" spans="1:220" s="74" customFormat="1" ht="30" hidden="1" customHeight="1" x14ac:dyDescent="0.35">
      <c r="A89" s="119">
        <v>80</v>
      </c>
      <c r="B89" s="4"/>
      <c r="C89" s="7"/>
      <c r="D89" s="4"/>
      <c r="E89" s="246"/>
      <c r="F89" s="10"/>
      <c r="G89" s="10"/>
      <c r="H89" s="10"/>
      <c r="I89" s="10"/>
      <c r="J89" s="10"/>
      <c r="K89" s="10"/>
      <c r="L89" s="10"/>
      <c r="M89" s="10"/>
      <c r="N89" s="10"/>
      <c r="O89" s="11"/>
      <c r="P89" s="238"/>
      <c r="Q89" s="14"/>
      <c r="R89" s="10"/>
      <c r="S89" s="10"/>
      <c r="T89" s="10"/>
      <c r="U89" s="10"/>
      <c r="V89" s="10"/>
      <c r="W89" s="10"/>
      <c r="X89" s="10"/>
      <c r="Y89" s="10"/>
      <c r="Z89" s="15"/>
      <c r="AA89" s="238"/>
      <c r="AB89" s="14"/>
      <c r="AC89" s="10"/>
      <c r="AD89" s="10"/>
      <c r="AE89" s="10"/>
      <c r="AF89" s="10"/>
      <c r="AG89" s="10"/>
      <c r="AH89" s="10"/>
      <c r="AI89" s="10"/>
      <c r="AJ89" s="10"/>
      <c r="AK89" s="15"/>
      <c r="AL89" s="238"/>
      <c r="AM89" s="14"/>
      <c r="AN89" s="10"/>
      <c r="AO89" s="10"/>
      <c r="AP89" s="10"/>
      <c r="AQ89" s="10"/>
      <c r="AR89" s="10"/>
      <c r="AS89" s="10"/>
      <c r="AT89" s="10"/>
      <c r="AU89" s="10"/>
      <c r="AV89" s="15"/>
      <c r="AW89" s="238"/>
      <c r="AX89" s="14"/>
      <c r="AY89" s="10"/>
      <c r="AZ89" s="10"/>
      <c r="BA89" s="10"/>
      <c r="BB89" s="10"/>
      <c r="BC89" s="10"/>
      <c r="BD89" s="10"/>
      <c r="BE89" s="10"/>
      <c r="BF89" s="10"/>
      <c r="BG89" s="15"/>
      <c r="BH89" s="238"/>
      <c r="BI89" s="14"/>
      <c r="BJ89" s="10"/>
      <c r="BK89" s="10"/>
      <c r="BL89" s="10"/>
      <c r="BM89" s="10"/>
      <c r="BN89" s="10"/>
      <c r="BO89" s="10"/>
      <c r="BP89" s="10"/>
      <c r="BQ89" s="10"/>
      <c r="BR89" s="15"/>
      <c r="BS89" s="238"/>
      <c r="BT89" s="14"/>
      <c r="BU89" s="10"/>
      <c r="BV89" s="10"/>
      <c r="BW89" s="10"/>
      <c r="BX89" s="10"/>
      <c r="BY89" s="10"/>
      <c r="BZ89" s="10"/>
      <c r="CA89" s="10"/>
      <c r="CB89" s="14"/>
      <c r="CC89" s="10"/>
      <c r="CD89" s="10"/>
      <c r="CE89" s="10"/>
      <c r="CF89" s="10"/>
      <c r="CG89" s="10"/>
      <c r="CH89" s="10"/>
      <c r="CI89" s="238"/>
      <c r="CJ89" s="14"/>
      <c r="CK89" s="10"/>
      <c r="CL89" s="10"/>
      <c r="CM89" s="10"/>
      <c r="CN89" s="10"/>
      <c r="CO89" s="10"/>
      <c r="CP89" s="10"/>
      <c r="CQ89" s="10"/>
      <c r="CR89" s="14"/>
      <c r="CS89" s="10"/>
      <c r="CT89" s="10"/>
      <c r="CU89" s="10"/>
      <c r="CV89" s="10"/>
      <c r="CW89" s="10"/>
      <c r="CX89" s="10"/>
      <c r="CY89" s="238"/>
      <c r="CZ89" s="14"/>
      <c r="DA89" s="10"/>
      <c r="DB89" s="10"/>
      <c r="DC89" s="10"/>
      <c r="DD89" s="10"/>
      <c r="DE89" s="10"/>
      <c r="DF89" s="10"/>
      <c r="DG89" s="10"/>
      <c r="DH89" s="14"/>
      <c r="DI89" s="10"/>
      <c r="DJ89" s="10"/>
      <c r="DK89" s="10"/>
      <c r="DL89" s="10"/>
      <c r="DM89" s="10"/>
      <c r="DN89" s="10"/>
      <c r="DO89" s="238"/>
      <c r="DP89" s="14"/>
      <c r="DQ89" s="10"/>
      <c r="DR89" s="10"/>
      <c r="DS89" s="10"/>
      <c r="DT89" s="10"/>
      <c r="DU89" s="10"/>
      <c r="DV89" s="10"/>
      <c r="DW89" s="10"/>
      <c r="DX89" s="14"/>
      <c r="DY89" s="10"/>
      <c r="DZ89" s="10"/>
      <c r="EA89" s="10"/>
      <c r="EB89" s="10"/>
      <c r="EC89" s="10"/>
      <c r="ED89" s="10"/>
      <c r="EE89" s="238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238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238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238"/>
      <c r="FP89" s="14"/>
      <c r="FQ89" s="14"/>
      <c r="FR89" s="14"/>
      <c r="FS89" s="14"/>
      <c r="FT89" s="14"/>
      <c r="FU89" s="238"/>
      <c r="FV89" s="14"/>
      <c r="FW89" s="14"/>
      <c r="FX89" s="14"/>
      <c r="FY89" s="14"/>
      <c r="FZ89" s="14"/>
      <c r="GA89" s="120"/>
      <c r="GB89" s="122" t="str">
        <f t="shared" si="36"/>
        <v/>
      </c>
      <c r="GC89" s="140" t="str">
        <f t="shared" si="37"/>
        <v/>
      </c>
      <c r="GD89" s="122">
        <f t="shared" si="38"/>
        <v>0</v>
      </c>
      <c r="GE89" s="122">
        <f t="shared" si="39"/>
        <v>0</v>
      </c>
      <c r="GF89" s="122">
        <f t="shared" si="40"/>
        <v>0</v>
      </c>
      <c r="GG89" s="122">
        <f t="shared" si="41"/>
        <v>0</v>
      </c>
      <c r="GH89" s="122">
        <f t="shared" si="42"/>
        <v>0</v>
      </c>
      <c r="GI89" s="122">
        <f t="shared" si="43"/>
        <v>0</v>
      </c>
      <c r="GJ89" s="122">
        <f t="shared" si="44"/>
        <v>0</v>
      </c>
      <c r="GK89" s="122">
        <f t="shared" si="45"/>
        <v>0</v>
      </c>
      <c r="GL89" s="122">
        <f t="shared" si="46"/>
        <v>0</v>
      </c>
      <c r="GM89" s="122">
        <f t="shared" si="47"/>
        <v>0</v>
      </c>
      <c r="GN89" s="122">
        <f t="shared" si="48"/>
        <v>0</v>
      </c>
      <c r="GO89" s="122">
        <f t="shared" si="49"/>
        <v>0</v>
      </c>
      <c r="GP89" s="122">
        <f t="shared" si="50"/>
        <v>0</v>
      </c>
      <c r="GQ89" s="122">
        <f t="shared" si="51"/>
        <v>0</v>
      </c>
      <c r="GR89" s="122">
        <f t="shared" si="52"/>
        <v>0</v>
      </c>
      <c r="GS89" s="123">
        <f t="shared" si="53"/>
        <v>0</v>
      </c>
      <c r="GT89"/>
      <c r="GU89"/>
      <c r="GV89"/>
      <c r="GW89" s="124"/>
      <c r="GX89" s="118"/>
      <c r="GY89" s="118"/>
      <c r="GZ89" s="118"/>
      <c r="HA89" s="118"/>
      <c r="HB89" s="118"/>
      <c r="HC89" s="118"/>
      <c r="HD89" s="118"/>
      <c r="HE89" s="118"/>
      <c r="HF89" s="118"/>
      <c r="HG89" s="118"/>
      <c r="HH89" s="118"/>
      <c r="HI89" s="118"/>
      <c r="HJ89" s="118"/>
      <c r="HK89" s="118"/>
      <c r="HL89" s="118"/>
    </row>
    <row r="90" spans="1:220" s="74" customFormat="1" ht="30" hidden="1" customHeight="1" x14ac:dyDescent="0.35">
      <c r="A90" s="119">
        <v>81</v>
      </c>
      <c r="B90" s="3"/>
      <c r="C90" s="6"/>
      <c r="D90" s="3"/>
      <c r="E90" s="246"/>
      <c r="F90" s="8"/>
      <c r="G90" s="8"/>
      <c r="H90" s="8"/>
      <c r="I90" s="8"/>
      <c r="J90" s="8"/>
      <c r="K90" s="8"/>
      <c r="L90" s="8"/>
      <c r="M90" s="8"/>
      <c r="N90" s="8"/>
      <c r="O90" s="9"/>
      <c r="P90" s="238"/>
      <c r="Q90" s="12"/>
      <c r="R90" s="8"/>
      <c r="S90" s="8"/>
      <c r="T90" s="8"/>
      <c r="U90" s="8"/>
      <c r="V90" s="8"/>
      <c r="W90" s="8"/>
      <c r="X90" s="8"/>
      <c r="Y90" s="8"/>
      <c r="Z90" s="13"/>
      <c r="AA90" s="238"/>
      <c r="AB90" s="12"/>
      <c r="AC90" s="8"/>
      <c r="AD90" s="8"/>
      <c r="AE90" s="8"/>
      <c r="AF90" s="8"/>
      <c r="AG90" s="8"/>
      <c r="AH90" s="8"/>
      <c r="AI90" s="8"/>
      <c r="AJ90" s="8"/>
      <c r="AK90" s="13"/>
      <c r="AL90" s="238"/>
      <c r="AM90" s="12"/>
      <c r="AN90" s="8"/>
      <c r="AO90" s="8"/>
      <c r="AP90" s="8"/>
      <c r="AQ90" s="8"/>
      <c r="AR90" s="8"/>
      <c r="AS90" s="8"/>
      <c r="AT90" s="8"/>
      <c r="AU90" s="8"/>
      <c r="AV90" s="13"/>
      <c r="AW90" s="238"/>
      <c r="AX90" s="12"/>
      <c r="AY90" s="8"/>
      <c r="AZ90" s="8"/>
      <c r="BA90" s="8"/>
      <c r="BB90" s="8"/>
      <c r="BC90" s="8"/>
      <c r="BD90" s="8"/>
      <c r="BE90" s="8"/>
      <c r="BF90" s="8"/>
      <c r="BG90" s="13"/>
      <c r="BH90" s="238"/>
      <c r="BI90" s="12"/>
      <c r="BJ90" s="8"/>
      <c r="BK90" s="8"/>
      <c r="BL90" s="8"/>
      <c r="BM90" s="8"/>
      <c r="BN90" s="8"/>
      <c r="BO90" s="8"/>
      <c r="BP90" s="8"/>
      <c r="BQ90" s="8"/>
      <c r="BR90" s="13"/>
      <c r="BS90" s="238"/>
      <c r="BT90" s="12"/>
      <c r="BU90" s="8"/>
      <c r="BV90" s="8"/>
      <c r="BW90" s="8"/>
      <c r="BX90" s="8"/>
      <c r="BY90" s="8"/>
      <c r="BZ90" s="8"/>
      <c r="CA90" s="8"/>
      <c r="CB90" s="12"/>
      <c r="CC90" s="8"/>
      <c r="CD90" s="8"/>
      <c r="CE90" s="8"/>
      <c r="CF90" s="8"/>
      <c r="CG90" s="8"/>
      <c r="CH90" s="8"/>
      <c r="CI90" s="238"/>
      <c r="CJ90" s="12"/>
      <c r="CK90" s="8"/>
      <c r="CL90" s="8"/>
      <c r="CM90" s="8"/>
      <c r="CN90" s="8"/>
      <c r="CO90" s="8"/>
      <c r="CP90" s="8"/>
      <c r="CQ90" s="8"/>
      <c r="CR90" s="12"/>
      <c r="CS90" s="8"/>
      <c r="CT90" s="8"/>
      <c r="CU90" s="8"/>
      <c r="CV90" s="8"/>
      <c r="CW90" s="8"/>
      <c r="CX90" s="8"/>
      <c r="CY90" s="238"/>
      <c r="CZ90" s="12"/>
      <c r="DA90" s="8"/>
      <c r="DB90" s="8"/>
      <c r="DC90" s="8"/>
      <c r="DD90" s="8"/>
      <c r="DE90" s="8"/>
      <c r="DF90" s="8"/>
      <c r="DG90" s="8"/>
      <c r="DH90" s="12"/>
      <c r="DI90" s="8"/>
      <c r="DJ90" s="8"/>
      <c r="DK90" s="8"/>
      <c r="DL90" s="8"/>
      <c r="DM90" s="8"/>
      <c r="DN90" s="8"/>
      <c r="DO90" s="238"/>
      <c r="DP90" s="12"/>
      <c r="DQ90" s="8"/>
      <c r="DR90" s="8"/>
      <c r="DS90" s="8"/>
      <c r="DT90" s="8"/>
      <c r="DU90" s="8"/>
      <c r="DV90" s="8"/>
      <c r="DW90" s="8"/>
      <c r="DX90" s="12"/>
      <c r="DY90" s="8"/>
      <c r="DZ90" s="8"/>
      <c r="EA90" s="8"/>
      <c r="EB90" s="8"/>
      <c r="EC90" s="8"/>
      <c r="ED90" s="8"/>
      <c r="EE90" s="238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238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238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238"/>
      <c r="FP90" s="12"/>
      <c r="FQ90" s="12"/>
      <c r="FR90" s="12"/>
      <c r="FS90" s="12"/>
      <c r="FT90" s="12"/>
      <c r="FU90" s="238"/>
      <c r="FV90" s="12"/>
      <c r="FW90" s="12"/>
      <c r="FX90" s="12"/>
      <c r="FY90" s="12"/>
      <c r="FZ90" s="12"/>
      <c r="GA90" s="120"/>
      <c r="GB90" s="118" t="str">
        <f t="shared" si="36"/>
        <v/>
      </c>
      <c r="GC90" s="139" t="str">
        <f t="shared" si="37"/>
        <v/>
      </c>
      <c r="GD90" s="118">
        <f t="shared" si="38"/>
        <v>0</v>
      </c>
      <c r="GE90" s="118">
        <f t="shared" si="39"/>
        <v>0</v>
      </c>
      <c r="GF90" s="118">
        <f t="shared" si="40"/>
        <v>0</v>
      </c>
      <c r="GG90" s="118">
        <f t="shared" si="41"/>
        <v>0</v>
      </c>
      <c r="GH90" s="118">
        <f t="shared" si="42"/>
        <v>0</v>
      </c>
      <c r="GI90" s="118">
        <f t="shared" si="43"/>
        <v>0</v>
      </c>
      <c r="GJ90" s="118">
        <f t="shared" si="44"/>
        <v>0</v>
      </c>
      <c r="GK90" s="118">
        <f t="shared" si="45"/>
        <v>0</v>
      </c>
      <c r="GL90" s="118">
        <f t="shared" si="46"/>
        <v>0</v>
      </c>
      <c r="GM90" s="118">
        <f t="shared" si="47"/>
        <v>0</v>
      </c>
      <c r="GN90" s="118">
        <f t="shared" si="48"/>
        <v>0</v>
      </c>
      <c r="GO90" s="118">
        <f t="shared" si="49"/>
        <v>0</v>
      </c>
      <c r="GP90" s="118">
        <f t="shared" si="50"/>
        <v>0</v>
      </c>
      <c r="GQ90" s="118">
        <f t="shared" si="51"/>
        <v>0</v>
      </c>
      <c r="GR90" s="118">
        <f t="shared" si="52"/>
        <v>0</v>
      </c>
      <c r="GS90" s="121">
        <f t="shared" si="53"/>
        <v>0</v>
      </c>
      <c r="GT90"/>
      <c r="GU90"/>
      <c r="GV90"/>
      <c r="GW90" s="124"/>
      <c r="GX90" s="118"/>
      <c r="GY90" s="118"/>
      <c r="GZ90" s="118"/>
      <c r="HA90" s="118"/>
      <c r="HB90" s="118"/>
      <c r="HC90" s="118"/>
      <c r="HD90" s="118"/>
      <c r="HE90" s="118"/>
      <c r="HF90" s="118"/>
      <c r="HG90" s="118"/>
      <c r="HH90" s="118"/>
      <c r="HI90" s="118"/>
      <c r="HJ90" s="118"/>
      <c r="HK90" s="118"/>
      <c r="HL90" s="118"/>
    </row>
    <row r="91" spans="1:220" s="74" customFormat="1" ht="30" hidden="1" customHeight="1" x14ac:dyDescent="0.35">
      <c r="A91" s="119">
        <v>82</v>
      </c>
      <c r="B91" s="4"/>
      <c r="C91" s="7"/>
      <c r="D91" s="4"/>
      <c r="E91" s="246"/>
      <c r="F91" s="10"/>
      <c r="G91" s="10"/>
      <c r="H91" s="10"/>
      <c r="I91" s="10"/>
      <c r="J91" s="10"/>
      <c r="K91" s="10"/>
      <c r="L91" s="10"/>
      <c r="M91" s="10"/>
      <c r="N91" s="10"/>
      <c r="O91" s="11"/>
      <c r="P91" s="238"/>
      <c r="Q91" s="14"/>
      <c r="R91" s="10"/>
      <c r="S91" s="10"/>
      <c r="T91" s="10"/>
      <c r="U91" s="10"/>
      <c r="V91" s="10"/>
      <c r="W91" s="10"/>
      <c r="X91" s="10"/>
      <c r="Y91" s="10"/>
      <c r="Z91" s="15"/>
      <c r="AA91" s="238"/>
      <c r="AB91" s="14"/>
      <c r="AC91" s="10"/>
      <c r="AD91" s="10"/>
      <c r="AE91" s="10"/>
      <c r="AF91" s="10"/>
      <c r="AG91" s="10"/>
      <c r="AH91" s="10"/>
      <c r="AI91" s="10"/>
      <c r="AJ91" s="10"/>
      <c r="AK91" s="15"/>
      <c r="AL91" s="238"/>
      <c r="AM91" s="14"/>
      <c r="AN91" s="10"/>
      <c r="AO91" s="10"/>
      <c r="AP91" s="10"/>
      <c r="AQ91" s="10"/>
      <c r="AR91" s="10"/>
      <c r="AS91" s="10"/>
      <c r="AT91" s="10"/>
      <c r="AU91" s="10"/>
      <c r="AV91" s="15"/>
      <c r="AW91" s="238"/>
      <c r="AX91" s="14"/>
      <c r="AY91" s="10"/>
      <c r="AZ91" s="10"/>
      <c r="BA91" s="10"/>
      <c r="BB91" s="10"/>
      <c r="BC91" s="10"/>
      <c r="BD91" s="10"/>
      <c r="BE91" s="10"/>
      <c r="BF91" s="10"/>
      <c r="BG91" s="15"/>
      <c r="BH91" s="238"/>
      <c r="BI91" s="14"/>
      <c r="BJ91" s="10"/>
      <c r="BK91" s="10"/>
      <c r="BL91" s="10"/>
      <c r="BM91" s="10"/>
      <c r="BN91" s="10"/>
      <c r="BO91" s="10"/>
      <c r="BP91" s="10"/>
      <c r="BQ91" s="10"/>
      <c r="BR91" s="15"/>
      <c r="BS91" s="238"/>
      <c r="BT91" s="14"/>
      <c r="BU91" s="10"/>
      <c r="BV91" s="10"/>
      <c r="BW91" s="10"/>
      <c r="BX91" s="10"/>
      <c r="BY91" s="10"/>
      <c r="BZ91" s="10"/>
      <c r="CA91" s="10"/>
      <c r="CB91" s="14"/>
      <c r="CC91" s="10"/>
      <c r="CD91" s="10"/>
      <c r="CE91" s="10"/>
      <c r="CF91" s="10"/>
      <c r="CG91" s="10"/>
      <c r="CH91" s="10"/>
      <c r="CI91" s="238"/>
      <c r="CJ91" s="14"/>
      <c r="CK91" s="10"/>
      <c r="CL91" s="10"/>
      <c r="CM91" s="10"/>
      <c r="CN91" s="10"/>
      <c r="CO91" s="10"/>
      <c r="CP91" s="10"/>
      <c r="CQ91" s="10"/>
      <c r="CR91" s="14"/>
      <c r="CS91" s="10"/>
      <c r="CT91" s="10"/>
      <c r="CU91" s="10"/>
      <c r="CV91" s="10"/>
      <c r="CW91" s="10"/>
      <c r="CX91" s="10"/>
      <c r="CY91" s="238"/>
      <c r="CZ91" s="14"/>
      <c r="DA91" s="10"/>
      <c r="DB91" s="10"/>
      <c r="DC91" s="10"/>
      <c r="DD91" s="10"/>
      <c r="DE91" s="10"/>
      <c r="DF91" s="10"/>
      <c r="DG91" s="10"/>
      <c r="DH91" s="14"/>
      <c r="DI91" s="10"/>
      <c r="DJ91" s="10"/>
      <c r="DK91" s="10"/>
      <c r="DL91" s="10"/>
      <c r="DM91" s="10"/>
      <c r="DN91" s="10"/>
      <c r="DO91" s="238"/>
      <c r="DP91" s="14"/>
      <c r="DQ91" s="10"/>
      <c r="DR91" s="10"/>
      <c r="DS91" s="10"/>
      <c r="DT91" s="10"/>
      <c r="DU91" s="10"/>
      <c r="DV91" s="10"/>
      <c r="DW91" s="10"/>
      <c r="DX91" s="14"/>
      <c r="DY91" s="10"/>
      <c r="DZ91" s="10"/>
      <c r="EA91" s="10"/>
      <c r="EB91" s="10"/>
      <c r="EC91" s="10"/>
      <c r="ED91" s="10"/>
      <c r="EE91" s="238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238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238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238"/>
      <c r="FP91" s="14"/>
      <c r="FQ91" s="14"/>
      <c r="FR91" s="14"/>
      <c r="FS91" s="14"/>
      <c r="FT91" s="14"/>
      <c r="FU91" s="238"/>
      <c r="FV91" s="14"/>
      <c r="FW91" s="14"/>
      <c r="FX91" s="14"/>
      <c r="FY91" s="14"/>
      <c r="FZ91" s="14"/>
      <c r="GA91" s="120"/>
      <c r="GB91" s="122" t="str">
        <f t="shared" si="36"/>
        <v/>
      </c>
      <c r="GC91" s="140" t="str">
        <f t="shared" si="37"/>
        <v/>
      </c>
      <c r="GD91" s="122">
        <f t="shared" si="38"/>
        <v>0</v>
      </c>
      <c r="GE91" s="122">
        <f t="shared" si="39"/>
        <v>0</v>
      </c>
      <c r="GF91" s="122">
        <f t="shared" si="40"/>
        <v>0</v>
      </c>
      <c r="GG91" s="122">
        <f t="shared" si="41"/>
        <v>0</v>
      </c>
      <c r="GH91" s="122">
        <f t="shared" si="42"/>
        <v>0</v>
      </c>
      <c r="GI91" s="122">
        <f t="shared" si="43"/>
        <v>0</v>
      </c>
      <c r="GJ91" s="122">
        <f t="shared" si="44"/>
        <v>0</v>
      </c>
      <c r="GK91" s="122">
        <f t="shared" si="45"/>
        <v>0</v>
      </c>
      <c r="GL91" s="122">
        <f t="shared" si="46"/>
        <v>0</v>
      </c>
      <c r="GM91" s="122">
        <f t="shared" si="47"/>
        <v>0</v>
      </c>
      <c r="GN91" s="122">
        <f t="shared" si="48"/>
        <v>0</v>
      </c>
      <c r="GO91" s="122">
        <f t="shared" si="49"/>
        <v>0</v>
      </c>
      <c r="GP91" s="122">
        <f t="shared" si="50"/>
        <v>0</v>
      </c>
      <c r="GQ91" s="122">
        <f t="shared" si="51"/>
        <v>0</v>
      </c>
      <c r="GR91" s="122">
        <f t="shared" si="52"/>
        <v>0</v>
      </c>
      <c r="GS91" s="123">
        <f t="shared" si="53"/>
        <v>0</v>
      </c>
      <c r="GT91"/>
      <c r="GU91"/>
      <c r="GV91"/>
      <c r="GW91" s="124"/>
      <c r="GX91" s="118"/>
      <c r="GY91" s="118"/>
      <c r="GZ91" s="118"/>
      <c r="HA91" s="118"/>
      <c r="HB91" s="118"/>
      <c r="HC91" s="118"/>
      <c r="HD91" s="118"/>
      <c r="HE91" s="118"/>
      <c r="HF91" s="118"/>
      <c r="HG91" s="118"/>
      <c r="HH91" s="118"/>
      <c r="HI91" s="118"/>
      <c r="HJ91" s="118"/>
      <c r="HK91" s="118"/>
      <c r="HL91" s="118"/>
    </row>
    <row r="92" spans="1:220" s="74" customFormat="1" ht="30" hidden="1" customHeight="1" x14ac:dyDescent="0.35">
      <c r="A92" s="119">
        <v>83</v>
      </c>
      <c r="B92" s="3"/>
      <c r="C92" s="6"/>
      <c r="D92" s="3"/>
      <c r="E92" s="246"/>
      <c r="F92" s="8"/>
      <c r="G92" s="8"/>
      <c r="H92" s="8"/>
      <c r="I92" s="8"/>
      <c r="J92" s="8"/>
      <c r="K92" s="8"/>
      <c r="L92" s="8"/>
      <c r="M92" s="8"/>
      <c r="N92" s="8"/>
      <c r="O92" s="9"/>
      <c r="P92" s="238"/>
      <c r="Q92" s="12"/>
      <c r="R92" s="8"/>
      <c r="S92" s="8"/>
      <c r="T92" s="8"/>
      <c r="U92" s="8"/>
      <c r="V92" s="8"/>
      <c r="W92" s="8"/>
      <c r="X92" s="8"/>
      <c r="Y92" s="8"/>
      <c r="Z92" s="13"/>
      <c r="AA92" s="238"/>
      <c r="AB92" s="12"/>
      <c r="AC92" s="8"/>
      <c r="AD92" s="8"/>
      <c r="AE92" s="8"/>
      <c r="AF92" s="8"/>
      <c r="AG92" s="8"/>
      <c r="AH92" s="8"/>
      <c r="AI92" s="8"/>
      <c r="AJ92" s="8"/>
      <c r="AK92" s="13"/>
      <c r="AL92" s="238"/>
      <c r="AM92" s="12"/>
      <c r="AN92" s="8"/>
      <c r="AO92" s="8"/>
      <c r="AP92" s="8"/>
      <c r="AQ92" s="8"/>
      <c r="AR92" s="8"/>
      <c r="AS92" s="8"/>
      <c r="AT92" s="8"/>
      <c r="AU92" s="8"/>
      <c r="AV92" s="13"/>
      <c r="AW92" s="238"/>
      <c r="AX92" s="12"/>
      <c r="AY92" s="8"/>
      <c r="AZ92" s="8"/>
      <c r="BA92" s="8"/>
      <c r="BB92" s="8"/>
      <c r="BC92" s="8"/>
      <c r="BD92" s="8"/>
      <c r="BE92" s="8"/>
      <c r="BF92" s="8"/>
      <c r="BG92" s="13"/>
      <c r="BH92" s="238"/>
      <c r="BI92" s="12"/>
      <c r="BJ92" s="8"/>
      <c r="BK92" s="8"/>
      <c r="BL92" s="8"/>
      <c r="BM92" s="8"/>
      <c r="BN92" s="8"/>
      <c r="BO92" s="8"/>
      <c r="BP92" s="8"/>
      <c r="BQ92" s="8"/>
      <c r="BR92" s="13"/>
      <c r="BS92" s="238"/>
      <c r="BT92" s="12"/>
      <c r="BU92" s="8"/>
      <c r="BV92" s="8"/>
      <c r="BW92" s="8"/>
      <c r="BX92" s="8"/>
      <c r="BY92" s="8"/>
      <c r="BZ92" s="8"/>
      <c r="CA92" s="8"/>
      <c r="CB92" s="12"/>
      <c r="CC92" s="8"/>
      <c r="CD92" s="8"/>
      <c r="CE92" s="8"/>
      <c r="CF92" s="8"/>
      <c r="CG92" s="8"/>
      <c r="CH92" s="8"/>
      <c r="CI92" s="238"/>
      <c r="CJ92" s="12"/>
      <c r="CK92" s="8"/>
      <c r="CL92" s="8"/>
      <c r="CM92" s="8"/>
      <c r="CN92" s="8"/>
      <c r="CO92" s="8"/>
      <c r="CP92" s="8"/>
      <c r="CQ92" s="8"/>
      <c r="CR92" s="12"/>
      <c r="CS92" s="8"/>
      <c r="CT92" s="8"/>
      <c r="CU92" s="8"/>
      <c r="CV92" s="8"/>
      <c r="CW92" s="8"/>
      <c r="CX92" s="8"/>
      <c r="CY92" s="238"/>
      <c r="CZ92" s="12"/>
      <c r="DA92" s="8"/>
      <c r="DB92" s="8"/>
      <c r="DC92" s="8"/>
      <c r="DD92" s="8"/>
      <c r="DE92" s="8"/>
      <c r="DF92" s="8"/>
      <c r="DG92" s="8"/>
      <c r="DH92" s="12"/>
      <c r="DI92" s="8"/>
      <c r="DJ92" s="8"/>
      <c r="DK92" s="8"/>
      <c r="DL92" s="8"/>
      <c r="DM92" s="8"/>
      <c r="DN92" s="8"/>
      <c r="DO92" s="238"/>
      <c r="DP92" s="12"/>
      <c r="DQ92" s="8"/>
      <c r="DR92" s="8"/>
      <c r="DS92" s="8"/>
      <c r="DT92" s="8"/>
      <c r="DU92" s="8"/>
      <c r="DV92" s="8"/>
      <c r="DW92" s="8"/>
      <c r="DX92" s="12"/>
      <c r="DY92" s="8"/>
      <c r="DZ92" s="8"/>
      <c r="EA92" s="8"/>
      <c r="EB92" s="8"/>
      <c r="EC92" s="8"/>
      <c r="ED92" s="8"/>
      <c r="EE92" s="238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238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238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238"/>
      <c r="FP92" s="12"/>
      <c r="FQ92" s="12"/>
      <c r="FR92" s="12"/>
      <c r="FS92" s="12"/>
      <c r="FT92" s="12"/>
      <c r="FU92" s="238"/>
      <c r="FV92" s="12"/>
      <c r="FW92" s="12"/>
      <c r="FX92" s="12"/>
      <c r="FY92" s="12"/>
      <c r="FZ92" s="12"/>
      <c r="GA92" s="120"/>
      <c r="GB92" s="118" t="str">
        <f t="shared" si="36"/>
        <v/>
      </c>
      <c r="GC92" s="139" t="str">
        <f t="shared" si="37"/>
        <v/>
      </c>
      <c r="GD92" s="118">
        <f t="shared" si="38"/>
        <v>0</v>
      </c>
      <c r="GE92" s="118">
        <f t="shared" si="39"/>
        <v>0</v>
      </c>
      <c r="GF92" s="118">
        <f t="shared" si="40"/>
        <v>0</v>
      </c>
      <c r="GG92" s="118">
        <f t="shared" si="41"/>
        <v>0</v>
      </c>
      <c r="GH92" s="118">
        <f t="shared" si="42"/>
        <v>0</v>
      </c>
      <c r="GI92" s="118">
        <f t="shared" si="43"/>
        <v>0</v>
      </c>
      <c r="GJ92" s="118">
        <f t="shared" si="44"/>
        <v>0</v>
      </c>
      <c r="GK92" s="118">
        <f t="shared" si="45"/>
        <v>0</v>
      </c>
      <c r="GL92" s="118">
        <f t="shared" si="46"/>
        <v>0</v>
      </c>
      <c r="GM92" s="118">
        <f t="shared" si="47"/>
        <v>0</v>
      </c>
      <c r="GN92" s="118">
        <f t="shared" si="48"/>
        <v>0</v>
      </c>
      <c r="GO92" s="118">
        <f t="shared" si="49"/>
        <v>0</v>
      </c>
      <c r="GP92" s="118">
        <f t="shared" si="50"/>
        <v>0</v>
      </c>
      <c r="GQ92" s="118">
        <f t="shared" si="51"/>
        <v>0</v>
      </c>
      <c r="GR92" s="118">
        <f t="shared" si="52"/>
        <v>0</v>
      </c>
      <c r="GS92" s="121">
        <f t="shared" si="53"/>
        <v>0</v>
      </c>
      <c r="GT92"/>
      <c r="GU92"/>
      <c r="GV92"/>
      <c r="GW92" s="124"/>
      <c r="GX92" s="118"/>
      <c r="GY92" s="118"/>
      <c r="GZ92" s="118"/>
      <c r="HA92" s="118"/>
      <c r="HB92" s="118"/>
      <c r="HC92" s="118"/>
      <c r="HD92" s="118"/>
      <c r="HE92" s="118"/>
      <c r="HF92" s="118"/>
      <c r="HG92" s="118"/>
      <c r="HH92" s="118"/>
      <c r="HI92" s="118"/>
      <c r="HJ92" s="118"/>
      <c r="HK92" s="118"/>
      <c r="HL92" s="118"/>
    </row>
    <row r="93" spans="1:220" s="74" customFormat="1" ht="30" hidden="1" customHeight="1" x14ac:dyDescent="0.35">
      <c r="A93" s="119">
        <v>84</v>
      </c>
      <c r="B93" s="4"/>
      <c r="C93" s="7"/>
      <c r="D93" s="4"/>
      <c r="E93" s="246"/>
      <c r="F93" s="10"/>
      <c r="G93" s="10"/>
      <c r="H93" s="10"/>
      <c r="I93" s="10"/>
      <c r="J93" s="10"/>
      <c r="K93" s="10"/>
      <c r="L93" s="10"/>
      <c r="M93" s="10"/>
      <c r="N93" s="10"/>
      <c r="O93" s="11"/>
      <c r="P93" s="238"/>
      <c r="Q93" s="14"/>
      <c r="R93" s="10"/>
      <c r="S93" s="10"/>
      <c r="T93" s="10"/>
      <c r="U93" s="10"/>
      <c r="V93" s="10"/>
      <c r="W93" s="10"/>
      <c r="X93" s="10"/>
      <c r="Y93" s="10"/>
      <c r="Z93" s="15"/>
      <c r="AA93" s="238"/>
      <c r="AB93" s="14"/>
      <c r="AC93" s="10"/>
      <c r="AD93" s="10"/>
      <c r="AE93" s="10"/>
      <c r="AF93" s="10"/>
      <c r="AG93" s="10"/>
      <c r="AH93" s="10"/>
      <c r="AI93" s="10"/>
      <c r="AJ93" s="10"/>
      <c r="AK93" s="15"/>
      <c r="AL93" s="238"/>
      <c r="AM93" s="14"/>
      <c r="AN93" s="10"/>
      <c r="AO93" s="10"/>
      <c r="AP93" s="10"/>
      <c r="AQ93" s="10"/>
      <c r="AR93" s="10"/>
      <c r="AS93" s="10"/>
      <c r="AT93" s="10"/>
      <c r="AU93" s="10"/>
      <c r="AV93" s="15"/>
      <c r="AW93" s="238"/>
      <c r="AX93" s="14"/>
      <c r="AY93" s="10"/>
      <c r="AZ93" s="10"/>
      <c r="BA93" s="10"/>
      <c r="BB93" s="10"/>
      <c r="BC93" s="10"/>
      <c r="BD93" s="10"/>
      <c r="BE93" s="10"/>
      <c r="BF93" s="10"/>
      <c r="BG93" s="15"/>
      <c r="BH93" s="238"/>
      <c r="BI93" s="14"/>
      <c r="BJ93" s="10"/>
      <c r="BK93" s="10"/>
      <c r="BL93" s="10"/>
      <c r="BM93" s="10"/>
      <c r="BN93" s="10"/>
      <c r="BO93" s="10"/>
      <c r="BP93" s="10"/>
      <c r="BQ93" s="10"/>
      <c r="BR93" s="15"/>
      <c r="BS93" s="238"/>
      <c r="BT93" s="14"/>
      <c r="BU93" s="10"/>
      <c r="BV93" s="10"/>
      <c r="BW93" s="10"/>
      <c r="BX93" s="10"/>
      <c r="BY93" s="10"/>
      <c r="BZ93" s="10"/>
      <c r="CA93" s="10"/>
      <c r="CB93" s="14"/>
      <c r="CC93" s="10"/>
      <c r="CD93" s="10"/>
      <c r="CE93" s="10"/>
      <c r="CF93" s="10"/>
      <c r="CG93" s="10"/>
      <c r="CH93" s="10"/>
      <c r="CI93" s="238"/>
      <c r="CJ93" s="14"/>
      <c r="CK93" s="10"/>
      <c r="CL93" s="10"/>
      <c r="CM93" s="10"/>
      <c r="CN93" s="10"/>
      <c r="CO93" s="10"/>
      <c r="CP93" s="10"/>
      <c r="CQ93" s="10"/>
      <c r="CR93" s="14"/>
      <c r="CS93" s="10"/>
      <c r="CT93" s="10"/>
      <c r="CU93" s="10"/>
      <c r="CV93" s="10"/>
      <c r="CW93" s="10"/>
      <c r="CX93" s="10"/>
      <c r="CY93" s="238"/>
      <c r="CZ93" s="14"/>
      <c r="DA93" s="10"/>
      <c r="DB93" s="10"/>
      <c r="DC93" s="10"/>
      <c r="DD93" s="10"/>
      <c r="DE93" s="10"/>
      <c r="DF93" s="10"/>
      <c r="DG93" s="10"/>
      <c r="DH93" s="14"/>
      <c r="DI93" s="10"/>
      <c r="DJ93" s="10"/>
      <c r="DK93" s="10"/>
      <c r="DL93" s="10"/>
      <c r="DM93" s="10"/>
      <c r="DN93" s="10"/>
      <c r="DO93" s="238"/>
      <c r="DP93" s="14"/>
      <c r="DQ93" s="10"/>
      <c r="DR93" s="10"/>
      <c r="DS93" s="10"/>
      <c r="DT93" s="10"/>
      <c r="DU93" s="10"/>
      <c r="DV93" s="10"/>
      <c r="DW93" s="10"/>
      <c r="DX93" s="14"/>
      <c r="DY93" s="10"/>
      <c r="DZ93" s="10"/>
      <c r="EA93" s="10"/>
      <c r="EB93" s="10"/>
      <c r="EC93" s="10"/>
      <c r="ED93" s="10"/>
      <c r="EE93" s="238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238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238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238"/>
      <c r="FP93" s="14"/>
      <c r="FQ93" s="14"/>
      <c r="FR93" s="14"/>
      <c r="FS93" s="14"/>
      <c r="FT93" s="14"/>
      <c r="FU93" s="238"/>
      <c r="FV93" s="14"/>
      <c r="FW93" s="14"/>
      <c r="FX93" s="14"/>
      <c r="FY93" s="14"/>
      <c r="FZ93" s="14"/>
      <c r="GA93" s="120"/>
      <c r="GB93" s="122" t="str">
        <f t="shared" si="36"/>
        <v/>
      </c>
      <c r="GC93" s="140" t="str">
        <f t="shared" si="37"/>
        <v/>
      </c>
      <c r="GD93" s="122">
        <f t="shared" si="38"/>
        <v>0</v>
      </c>
      <c r="GE93" s="122">
        <f t="shared" si="39"/>
        <v>0</v>
      </c>
      <c r="GF93" s="122">
        <f t="shared" si="40"/>
        <v>0</v>
      </c>
      <c r="GG93" s="122">
        <f t="shared" si="41"/>
        <v>0</v>
      </c>
      <c r="GH93" s="122">
        <f t="shared" si="42"/>
        <v>0</v>
      </c>
      <c r="GI93" s="122">
        <f t="shared" si="43"/>
        <v>0</v>
      </c>
      <c r="GJ93" s="122">
        <f t="shared" si="44"/>
        <v>0</v>
      </c>
      <c r="GK93" s="122">
        <f t="shared" si="45"/>
        <v>0</v>
      </c>
      <c r="GL93" s="122">
        <f t="shared" si="46"/>
        <v>0</v>
      </c>
      <c r="GM93" s="122">
        <f t="shared" si="47"/>
        <v>0</v>
      </c>
      <c r="GN93" s="122">
        <f t="shared" si="48"/>
        <v>0</v>
      </c>
      <c r="GO93" s="122">
        <f t="shared" si="49"/>
        <v>0</v>
      </c>
      <c r="GP93" s="122">
        <f t="shared" si="50"/>
        <v>0</v>
      </c>
      <c r="GQ93" s="122">
        <f t="shared" si="51"/>
        <v>0</v>
      </c>
      <c r="GR93" s="122">
        <f t="shared" si="52"/>
        <v>0</v>
      </c>
      <c r="GS93" s="123">
        <f t="shared" si="53"/>
        <v>0</v>
      </c>
      <c r="GT93"/>
      <c r="GU93"/>
      <c r="GV93"/>
      <c r="GW93" s="124"/>
      <c r="GX93" s="118"/>
      <c r="GY93" s="118"/>
      <c r="GZ93" s="118"/>
      <c r="HA93" s="118"/>
      <c r="HB93" s="118"/>
      <c r="HC93" s="118"/>
      <c r="HD93" s="118"/>
      <c r="HE93" s="118"/>
      <c r="HF93" s="118"/>
      <c r="HG93" s="118"/>
      <c r="HH93" s="118"/>
      <c r="HI93" s="118"/>
      <c r="HJ93" s="118"/>
      <c r="HK93" s="118"/>
      <c r="HL93" s="118"/>
    </row>
    <row r="94" spans="1:220" s="74" customFormat="1" ht="30" hidden="1" customHeight="1" x14ac:dyDescent="0.35">
      <c r="A94" s="119">
        <v>85</v>
      </c>
      <c r="B94" s="3"/>
      <c r="C94" s="6"/>
      <c r="D94" s="3"/>
      <c r="E94" s="246"/>
      <c r="F94" s="8"/>
      <c r="G94" s="8"/>
      <c r="H94" s="8"/>
      <c r="I94" s="8"/>
      <c r="J94" s="8"/>
      <c r="K94" s="8"/>
      <c r="L94" s="8"/>
      <c r="M94" s="8"/>
      <c r="N94" s="8"/>
      <c r="O94" s="9"/>
      <c r="P94" s="238"/>
      <c r="Q94" s="12"/>
      <c r="R94" s="8"/>
      <c r="S94" s="8"/>
      <c r="T94" s="8"/>
      <c r="U94" s="8"/>
      <c r="V94" s="8"/>
      <c r="W94" s="8"/>
      <c r="X94" s="8"/>
      <c r="Y94" s="8"/>
      <c r="Z94" s="13"/>
      <c r="AA94" s="238"/>
      <c r="AB94" s="12"/>
      <c r="AC94" s="8"/>
      <c r="AD94" s="8"/>
      <c r="AE94" s="8"/>
      <c r="AF94" s="8"/>
      <c r="AG94" s="8"/>
      <c r="AH94" s="8"/>
      <c r="AI94" s="8"/>
      <c r="AJ94" s="8"/>
      <c r="AK94" s="13"/>
      <c r="AL94" s="238"/>
      <c r="AM94" s="12"/>
      <c r="AN94" s="8"/>
      <c r="AO94" s="8"/>
      <c r="AP94" s="8"/>
      <c r="AQ94" s="8"/>
      <c r="AR94" s="8"/>
      <c r="AS94" s="8"/>
      <c r="AT94" s="8"/>
      <c r="AU94" s="8"/>
      <c r="AV94" s="13"/>
      <c r="AW94" s="238"/>
      <c r="AX94" s="12"/>
      <c r="AY94" s="8"/>
      <c r="AZ94" s="8"/>
      <c r="BA94" s="8"/>
      <c r="BB94" s="8"/>
      <c r="BC94" s="8"/>
      <c r="BD94" s="8"/>
      <c r="BE94" s="8"/>
      <c r="BF94" s="8"/>
      <c r="BG94" s="13"/>
      <c r="BH94" s="238"/>
      <c r="BI94" s="12"/>
      <c r="BJ94" s="8"/>
      <c r="BK94" s="8"/>
      <c r="BL94" s="8"/>
      <c r="BM94" s="8"/>
      <c r="BN94" s="8"/>
      <c r="BO94" s="8"/>
      <c r="BP94" s="8"/>
      <c r="BQ94" s="8"/>
      <c r="BR94" s="13"/>
      <c r="BS94" s="238"/>
      <c r="BT94" s="12"/>
      <c r="BU94" s="8"/>
      <c r="BV94" s="8"/>
      <c r="BW94" s="8"/>
      <c r="BX94" s="8"/>
      <c r="BY94" s="8"/>
      <c r="BZ94" s="8"/>
      <c r="CA94" s="8"/>
      <c r="CB94" s="12"/>
      <c r="CC94" s="8"/>
      <c r="CD94" s="8"/>
      <c r="CE94" s="8"/>
      <c r="CF94" s="8"/>
      <c r="CG94" s="8"/>
      <c r="CH94" s="8"/>
      <c r="CI94" s="238"/>
      <c r="CJ94" s="12"/>
      <c r="CK94" s="8"/>
      <c r="CL94" s="8"/>
      <c r="CM94" s="8"/>
      <c r="CN94" s="8"/>
      <c r="CO94" s="8"/>
      <c r="CP94" s="8"/>
      <c r="CQ94" s="8"/>
      <c r="CR94" s="12"/>
      <c r="CS94" s="8"/>
      <c r="CT94" s="8"/>
      <c r="CU94" s="8"/>
      <c r="CV94" s="8"/>
      <c r="CW94" s="8"/>
      <c r="CX94" s="8"/>
      <c r="CY94" s="238"/>
      <c r="CZ94" s="12"/>
      <c r="DA94" s="8"/>
      <c r="DB94" s="8"/>
      <c r="DC94" s="8"/>
      <c r="DD94" s="8"/>
      <c r="DE94" s="8"/>
      <c r="DF94" s="8"/>
      <c r="DG94" s="8"/>
      <c r="DH94" s="12"/>
      <c r="DI94" s="8"/>
      <c r="DJ94" s="8"/>
      <c r="DK94" s="8"/>
      <c r="DL94" s="8"/>
      <c r="DM94" s="8"/>
      <c r="DN94" s="8"/>
      <c r="DO94" s="238"/>
      <c r="DP94" s="12"/>
      <c r="DQ94" s="8"/>
      <c r="DR94" s="8"/>
      <c r="DS94" s="8"/>
      <c r="DT94" s="8"/>
      <c r="DU94" s="8"/>
      <c r="DV94" s="8"/>
      <c r="DW94" s="8"/>
      <c r="DX94" s="12"/>
      <c r="DY94" s="8"/>
      <c r="DZ94" s="8"/>
      <c r="EA94" s="8"/>
      <c r="EB94" s="8"/>
      <c r="EC94" s="8"/>
      <c r="ED94" s="8"/>
      <c r="EE94" s="238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238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238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238"/>
      <c r="FP94" s="12"/>
      <c r="FQ94" s="12"/>
      <c r="FR94" s="12"/>
      <c r="FS94" s="12"/>
      <c r="FT94" s="12"/>
      <c r="FU94" s="238"/>
      <c r="FV94" s="12"/>
      <c r="FW94" s="12"/>
      <c r="FX94" s="12"/>
      <c r="FY94" s="12"/>
      <c r="FZ94" s="12"/>
      <c r="GA94" s="120"/>
      <c r="GB94" s="118" t="str">
        <f t="shared" si="36"/>
        <v/>
      </c>
      <c r="GC94" s="139" t="str">
        <f t="shared" si="37"/>
        <v/>
      </c>
      <c r="GD94" s="118">
        <f t="shared" si="38"/>
        <v>0</v>
      </c>
      <c r="GE94" s="118">
        <f t="shared" si="39"/>
        <v>0</v>
      </c>
      <c r="GF94" s="118">
        <f t="shared" si="40"/>
        <v>0</v>
      </c>
      <c r="GG94" s="118">
        <f t="shared" si="41"/>
        <v>0</v>
      </c>
      <c r="GH94" s="118">
        <f t="shared" si="42"/>
        <v>0</v>
      </c>
      <c r="GI94" s="118">
        <f t="shared" si="43"/>
        <v>0</v>
      </c>
      <c r="GJ94" s="118">
        <f t="shared" si="44"/>
        <v>0</v>
      </c>
      <c r="GK94" s="118">
        <f t="shared" si="45"/>
        <v>0</v>
      </c>
      <c r="GL94" s="118">
        <f t="shared" si="46"/>
        <v>0</v>
      </c>
      <c r="GM94" s="118">
        <f t="shared" si="47"/>
        <v>0</v>
      </c>
      <c r="GN94" s="118">
        <f t="shared" si="48"/>
        <v>0</v>
      </c>
      <c r="GO94" s="118">
        <f t="shared" si="49"/>
        <v>0</v>
      </c>
      <c r="GP94" s="118">
        <f t="shared" si="50"/>
        <v>0</v>
      </c>
      <c r="GQ94" s="118">
        <f t="shared" si="51"/>
        <v>0</v>
      </c>
      <c r="GR94" s="118">
        <f t="shared" si="52"/>
        <v>0</v>
      </c>
      <c r="GS94" s="121">
        <f t="shared" si="53"/>
        <v>0</v>
      </c>
      <c r="GT94"/>
      <c r="GU94"/>
      <c r="GV94"/>
      <c r="GW94" s="124"/>
      <c r="GX94" s="118"/>
      <c r="GY94" s="118"/>
      <c r="GZ94" s="118"/>
      <c r="HA94" s="118"/>
      <c r="HB94" s="118"/>
      <c r="HC94" s="118"/>
      <c r="HD94" s="118"/>
      <c r="HE94" s="118"/>
      <c r="HF94" s="118"/>
      <c r="HG94" s="118"/>
      <c r="HH94" s="118"/>
      <c r="HI94" s="118"/>
      <c r="HJ94" s="118"/>
      <c r="HK94" s="118"/>
      <c r="HL94" s="118"/>
    </row>
    <row r="95" spans="1:220" s="74" customFormat="1" ht="30" hidden="1" customHeight="1" x14ac:dyDescent="0.35">
      <c r="A95" s="119">
        <v>86</v>
      </c>
      <c r="B95" s="4"/>
      <c r="C95" s="7"/>
      <c r="D95" s="4"/>
      <c r="E95" s="246"/>
      <c r="F95" s="10"/>
      <c r="G95" s="10"/>
      <c r="H95" s="10"/>
      <c r="I95" s="10"/>
      <c r="J95" s="10"/>
      <c r="K95" s="10"/>
      <c r="L95" s="10"/>
      <c r="M95" s="10"/>
      <c r="N95" s="10"/>
      <c r="O95" s="11"/>
      <c r="P95" s="238"/>
      <c r="Q95" s="14"/>
      <c r="R95" s="10"/>
      <c r="S95" s="10"/>
      <c r="T95" s="10"/>
      <c r="U95" s="10"/>
      <c r="V95" s="10"/>
      <c r="W95" s="10"/>
      <c r="X95" s="10"/>
      <c r="Y95" s="10"/>
      <c r="Z95" s="15"/>
      <c r="AA95" s="238"/>
      <c r="AB95" s="14"/>
      <c r="AC95" s="10"/>
      <c r="AD95" s="10"/>
      <c r="AE95" s="10"/>
      <c r="AF95" s="10"/>
      <c r="AG95" s="10"/>
      <c r="AH95" s="10"/>
      <c r="AI95" s="10"/>
      <c r="AJ95" s="10"/>
      <c r="AK95" s="15"/>
      <c r="AL95" s="238"/>
      <c r="AM95" s="14"/>
      <c r="AN95" s="10"/>
      <c r="AO95" s="10"/>
      <c r="AP95" s="10"/>
      <c r="AQ95" s="10"/>
      <c r="AR95" s="10"/>
      <c r="AS95" s="10"/>
      <c r="AT95" s="10"/>
      <c r="AU95" s="10"/>
      <c r="AV95" s="15"/>
      <c r="AW95" s="238"/>
      <c r="AX95" s="14"/>
      <c r="AY95" s="10"/>
      <c r="AZ95" s="10"/>
      <c r="BA95" s="10"/>
      <c r="BB95" s="10"/>
      <c r="BC95" s="10"/>
      <c r="BD95" s="10"/>
      <c r="BE95" s="10"/>
      <c r="BF95" s="10"/>
      <c r="BG95" s="15"/>
      <c r="BH95" s="238"/>
      <c r="BI95" s="14"/>
      <c r="BJ95" s="10"/>
      <c r="BK95" s="10"/>
      <c r="BL95" s="10"/>
      <c r="BM95" s="10"/>
      <c r="BN95" s="10"/>
      <c r="BO95" s="10"/>
      <c r="BP95" s="10"/>
      <c r="BQ95" s="10"/>
      <c r="BR95" s="15"/>
      <c r="BS95" s="238"/>
      <c r="BT95" s="14"/>
      <c r="BU95" s="10"/>
      <c r="BV95" s="10"/>
      <c r="BW95" s="10"/>
      <c r="BX95" s="10"/>
      <c r="BY95" s="10"/>
      <c r="BZ95" s="10"/>
      <c r="CA95" s="10"/>
      <c r="CB95" s="14"/>
      <c r="CC95" s="10"/>
      <c r="CD95" s="10"/>
      <c r="CE95" s="10"/>
      <c r="CF95" s="10"/>
      <c r="CG95" s="10"/>
      <c r="CH95" s="10"/>
      <c r="CI95" s="238"/>
      <c r="CJ95" s="14"/>
      <c r="CK95" s="10"/>
      <c r="CL95" s="10"/>
      <c r="CM95" s="10"/>
      <c r="CN95" s="10"/>
      <c r="CO95" s="10"/>
      <c r="CP95" s="10"/>
      <c r="CQ95" s="10"/>
      <c r="CR95" s="14"/>
      <c r="CS95" s="10"/>
      <c r="CT95" s="10"/>
      <c r="CU95" s="10"/>
      <c r="CV95" s="10"/>
      <c r="CW95" s="10"/>
      <c r="CX95" s="10"/>
      <c r="CY95" s="238"/>
      <c r="CZ95" s="14"/>
      <c r="DA95" s="10"/>
      <c r="DB95" s="10"/>
      <c r="DC95" s="10"/>
      <c r="DD95" s="10"/>
      <c r="DE95" s="10"/>
      <c r="DF95" s="10"/>
      <c r="DG95" s="10"/>
      <c r="DH95" s="14"/>
      <c r="DI95" s="10"/>
      <c r="DJ95" s="10"/>
      <c r="DK95" s="10"/>
      <c r="DL95" s="10"/>
      <c r="DM95" s="10"/>
      <c r="DN95" s="10"/>
      <c r="DO95" s="238"/>
      <c r="DP95" s="14"/>
      <c r="DQ95" s="10"/>
      <c r="DR95" s="10"/>
      <c r="DS95" s="10"/>
      <c r="DT95" s="10"/>
      <c r="DU95" s="10"/>
      <c r="DV95" s="10"/>
      <c r="DW95" s="10"/>
      <c r="DX95" s="14"/>
      <c r="DY95" s="10"/>
      <c r="DZ95" s="10"/>
      <c r="EA95" s="10"/>
      <c r="EB95" s="10"/>
      <c r="EC95" s="10"/>
      <c r="ED95" s="10"/>
      <c r="EE95" s="238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238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238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238"/>
      <c r="FP95" s="14"/>
      <c r="FQ95" s="14"/>
      <c r="FR95" s="14"/>
      <c r="FS95" s="14"/>
      <c r="FT95" s="14"/>
      <c r="FU95" s="238"/>
      <c r="FV95" s="14"/>
      <c r="FW95" s="14"/>
      <c r="FX95" s="14"/>
      <c r="FY95" s="14"/>
      <c r="FZ95" s="14"/>
      <c r="GA95" s="120"/>
      <c r="GB95" s="122" t="str">
        <f t="shared" si="36"/>
        <v/>
      </c>
      <c r="GC95" s="140" t="str">
        <f t="shared" si="37"/>
        <v/>
      </c>
      <c r="GD95" s="122">
        <f t="shared" si="38"/>
        <v>0</v>
      </c>
      <c r="GE95" s="122">
        <f t="shared" si="39"/>
        <v>0</v>
      </c>
      <c r="GF95" s="122">
        <f t="shared" si="40"/>
        <v>0</v>
      </c>
      <c r="GG95" s="122">
        <f t="shared" si="41"/>
        <v>0</v>
      </c>
      <c r="GH95" s="122">
        <f t="shared" si="42"/>
        <v>0</v>
      </c>
      <c r="GI95" s="122">
        <f t="shared" si="43"/>
        <v>0</v>
      </c>
      <c r="GJ95" s="122">
        <f t="shared" si="44"/>
        <v>0</v>
      </c>
      <c r="GK95" s="122">
        <f t="shared" si="45"/>
        <v>0</v>
      </c>
      <c r="GL95" s="122">
        <f t="shared" si="46"/>
        <v>0</v>
      </c>
      <c r="GM95" s="122">
        <f t="shared" si="47"/>
        <v>0</v>
      </c>
      <c r="GN95" s="122">
        <f t="shared" si="48"/>
        <v>0</v>
      </c>
      <c r="GO95" s="122">
        <f t="shared" si="49"/>
        <v>0</v>
      </c>
      <c r="GP95" s="122">
        <f t="shared" si="50"/>
        <v>0</v>
      </c>
      <c r="GQ95" s="122">
        <f t="shared" si="51"/>
        <v>0</v>
      </c>
      <c r="GR95" s="122">
        <f t="shared" si="52"/>
        <v>0</v>
      </c>
      <c r="GS95" s="123">
        <f t="shared" si="53"/>
        <v>0</v>
      </c>
      <c r="GT95"/>
      <c r="GU95"/>
      <c r="GV95"/>
      <c r="GW95" s="124"/>
      <c r="GX95" s="118"/>
      <c r="GY95" s="118"/>
      <c r="GZ95" s="118"/>
      <c r="HA95" s="118"/>
      <c r="HB95" s="118"/>
      <c r="HC95" s="118"/>
      <c r="HD95" s="118"/>
      <c r="HE95" s="118"/>
      <c r="HF95" s="118"/>
      <c r="HG95" s="118"/>
      <c r="HH95" s="118"/>
      <c r="HI95" s="118"/>
      <c r="HJ95" s="118"/>
      <c r="HK95" s="118"/>
      <c r="HL95" s="118"/>
    </row>
    <row r="96" spans="1:220" s="74" customFormat="1" ht="30" hidden="1" customHeight="1" x14ac:dyDescent="0.35">
      <c r="A96" s="119">
        <v>87</v>
      </c>
      <c r="B96" s="3"/>
      <c r="C96" s="6"/>
      <c r="D96" s="3"/>
      <c r="E96" s="246"/>
      <c r="F96" s="8"/>
      <c r="G96" s="8"/>
      <c r="H96" s="8"/>
      <c r="I96" s="8"/>
      <c r="J96" s="8"/>
      <c r="K96" s="8"/>
      <c r="L96" s="8"/>
      <c r="M96" s="8"/>
      <c r="N96" s="8"/>
      <c r="O96" s="9"/>
      <c r="P96" s="238"/>
      <c r="Q96" s="12"/>
      <c r="R96" s="8"/>
      <c r="S96" s="8"/>
      <c r="T96" s="8"/>
      <c r="U96" s="8"/>
      <c r="V96" s="8"/>
      <c r="W96" s="8"/>
      <c r="X96" s="8"/>
      <c r="Y96" s="8"/>
      <c r="Z96" s="13"/>
      <c r="AA96" s="238"/>
      <c r="AB96" s="12"/>
      <c r="AC96" s="8"/>
      <c r="AD96" s="8"/>
      <c r="AE96" s="8"/>
      <c r="AF96" s="8"/>
      <c r="AG96" s="8"/>
      <c r="AH96" s="8"/>
      <c r="AI96" s="8"/>
      <c r="AJ96" s="8"/>
      <c r="AK96" s="13"/>
      <c r="AL96" s="238"/>
      <c r="AM96" s="12"/>
      <c r="AN96" s="8"/>
      <c r="AO96" s="8"/>
      <c r="AP96" s="8"/>
      <c r="AQ96" s="8"/>
      <c r="AR96" s="8"/>
      <c r="AS96" s="8"/>
      <c r="AT96" s="8"/>
      <c r="AU96" s="8"/>
      <c r="AV96" s="13"/>
      <c r="AW96" s="238"/>
      <c r="AX96" s="12"/>
      <c r="AY96" s="8"/>
      <c r="AZ96" s="8"/>
      <c r="BA96" s="8"/>
      <c r="BB96" s="8"/>
      <c r="BC96" s="8"/>
      <c r="BD96" s="8"/>
      <c r="BE96" s="8"/>
      <c r="BF96" s="8"/>
      <c r="BG96" s="13"/>
      <c r="BH96" s="238"/>
      <c r="BI96" s="12"/>
      <c r="BJ96" s="8"/>
      <c r="BK96" s="8"/>
      <c r="BL96" s="8"/>
      <c r="BM96" s="8"/>
      <c r="BN96" s="8"/>
      <c r="BO96" s="8"/>
      <c r="BP96" s="8"/>
      <c r="BQ96" s="8"/>
      <c r="BR96" s="13"/>
      <c r="BS96" s="238"/>
      <c r="BT96" s="12"/>
      <c r="BU96" s="8"/>
      <c r="BV96" s="8"/>
      <c r="BW96" s="8"/>
      <c r="BX96" s="8"/>
      <c r="BY96" s="8"/>
      <c r="BZ96" s="8"/>
      <c r="CA96" s="8"/>
      <c r="CB96" s="12"/>
      <c r="CC96" s="8"/>
      <c r="CD96" s="8"/>
      <c r="CE96" s="8"/>
      <c r="CF96" s="8"/>
      <c r="CG96" s="8"/>
      <c r="CH96" s="8"/>
      <c r="CI96" s="238"/>
      <c r="CJ96" s="12"/>
      <c r="CK96" s="8"/>
      <c r="CL96" s="8"/>
      <c r="CM96" s="8"/>
      <c r="CN96" s="8"/>
      <c r="CO96" s="8"/>
      <c r="CP96" s="8"/>
      <c r="CQ96" s="8"/>
      <c r="CR96" s="12"/>
      <c r="CS96" s="8"/>
      <c r="CT96" s="8"/>
      <c r="CU96" s="8"/>
      <c r="CV96" s="8"/>
      <c r="CW96" s="8"/>
      <c r="CX96" s="8"/>
      <c r="CY96" s="238"/>
      <c r="CZ96" s="12"/>
      <c r="DA96" s="8"/>
      <c r="DB96" s="8"/>
      <c r="DC96" s="8"/>
      <c r="DD96" s="8"/>
      <c r="DE96" s="8"/>
      <c r="DF96" s="8"/>
      <c r="DG96" s="8"/>
      <c r="DH96" s="12"/>
      <c r="DI96" s="8"/>
      <c r="DJ96" s="8"/>
      <c r="DK96" s="8"/>
      <c r="DL96" s="8"/>
      <c r="DM96" s="8"/>
      <c r="DN96" s="8"/>
      <c r="DO96" s="238"/>
      <c r="DP96" s="12"/>
      <c r="DQ96" s="8"/>
      <c r="DR96" s="8"/>
      <c r="DS96" s="8"/>
      <c r="DT96" s="8"/>
      <c r="DU96" s="8"/>
      <c r="DV96" s="8"/>
      <c r="DW96" s="8"/>
      <c r="DX96" s="12"/>
      <c r="DY96" s="8"/>
      <c r="DZ96" s="8"/>
      <c r="EA96" s="8"/>
      <c r="EB96" s="8"/>
      <c r="EC96" s="8"/>
      <c r="ED96" s="8"/>
      <c r="EE96" s="238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238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238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238"/>
      <c r="FP96" s="12"/>
      <c r="FQ96" s="12"/>
      <c r="FR96" s="12"/>
      <c r="FS96" s="12"/>
      <c r="FT96" s="12"/>
      <c r="FU96" s="238"/>
      <c r="FV96" s="12"/>
      <c r="FW96" s="12"/>
      <c r="FX96" s="12"/>
      <c r="FY96" s="12"/>
      <c r="FZ96" s="12"/>
      <c r="GA96" s="120"/>
      <c r="GB96" s="118" t="str">
        <f t="shared" si="36"/>
        <v/>
      </c>
      <c r="GC96" s="139" t="str">
        <f t="shared" si="37"/>
        <v/>
      </c>
      <c r="GD96" s="118">
        <f t="shared" si="38"/>
        <v>0</v>
      </c>
      <c r="GE96" s="118">
        <f t="shared" si="39"/>
        <v>0</v>
      </c>
      <c r="GF96" s="118">
        <f t="shared" si="40"/>
        <v>0</v>
      </c>
      <c r="GG96" s="118">
        <f t="shared" si="41"/>
        <v>0</v>
      </c>
      <c r="GH96" s="118">
        <f t="shared" si="42"/>
        <v>0</v>
      </c>
      <c r="GI96" s="118">
        <f t="shared" si="43"/>
        <v>0</v>
      </c>
      <c r="GJ96" s="118">
        <f t="shared" si="44"/>
        <v>0</v>
      </c>
      <c r="GK96" s="118">
        <f t="shared" si="45"/>
        <v>0</v>
      </c>
      <c r="GL96" s="118">
        <f t="shared" si="46"/>
        <v>0</v>
      </c>
      <c r="GM96" s="118">
        <f t="shared" si="47"/>
        <v>0</v>
      </c>
      <c r="GN96" s="118">
        <f t="shared" si="48"/>
        <v>0</v>
      </c>
      <c r="GO96" s="118">
        <f t="shared" si="49"/>
        <v>0</v>
      </c>
      <c r="GP96" s="118">
        <f t="shared" si="50"/>
        <v>0</v>
      </c>
      <c r="GQ96" s="118">
        <f t="shared" si="51"/>
        <v>0</v>
      </c>
      <c r="GR96" s="118">
        <f t="shared" si="52"/>
        <v>0</v>
      </c>
      <c r="GS96" s="121">
        <f t="shared" si="53"/>
        <v>0</v>
      </c>
      <c r="GT96"/>
      <c r="GU96"/>
      <c r="GV96"/>
      <c r="GW96" s="124"/>
      <c r="GX96" s="118"/>
      <c r="GY96" s="118"/>
      <c r="GZ96" s="118"/>
      <c r="HA96" s="118"/>
      <c r="HB96" s="118"/>
      <c r="HC96" s="118"/>
      <c r="HD96" s="118"/>
      <c r="HE96" s="118"/>
      <c r="HF96" s="118"/>
      <c r="HG96" s="118"/>
      <c r="HH96" s="118"/>
      <c r="HI96" s="118"/>
      <c r="HJ96" s="118"/>
      <c r="HK96" s="118"/>
      <c r="HL96" s="118"/>
    </row>
    <row r="97" spans="1:220" s="74" customFormat="1" ht="30" hidden="1" customHeight="1" x14ac:dyDescent="0.35">
      <c r="A97" s="119">
        <v>88</v>
      </c>
      <c r="B97" s="4"/>
      <c r="C97" s="7"/>
      <c r="D97" s="4"/>
      <c r="E97" s="246"/>
      <c r="F97" s="10"/>
      <c r="G97" s="10"/>
      <c r="H97" s="10"/>
      <c r="I97" s="10"/>
      <c r="J97" s="10"/>
      <c r="K97" s="10"/>
      <c r="L97" s="10"/>
      <c r="M97" s="10"/>
      <c r="N97" s="10"/>
      <c r="O97" s="11"/>
      <c r="P97" s="238"/>
      <c r="Q97" s="14"/>
      <c r="R97" s="10"/>
      <c r="S97" s="10"/>
      <c r="T97" s="10"/>
      <c r="U97" s="10"/>
      <c r="V97" s="10"/>
      <c r="W97" s="10"/>
      <c r="X97" s="10"/>
      <c r="Y97" s="10"/>
      <c r="Z97" s="15"/>
      <c r="AA97" s="238"/>
      <c r="AB97" s="14"/>
      <c r="AC97" s="10"/>
      <c r="AD97" s="10"/>
      <c r="AE97" s="10"/>
      <c r="AF97" s="10"/>
      <c r="AG97" s="10"/>
      <c r="AH97" s="10"/>
      <c r="AI97" s="10"/>
      <c r="AJ97" s="10"/>
      <c r="AK97" s="15"/>
      <c r="AL97" s="238"/>
      <c r="AM97" s="14"/>
      <c r="AN97" s="10"/>
      <c r="AO97" s="10"/>
      <c r="AP97" s="10"/>
      <c r="AQ97" s="10"/>
      <c r="AR97" s="10"/>
      <c r="AS97" s="10"/>
      <c r="AT97" s="10"/>
      <c r="AU97" s="10"/>
      <c r="AV97" s="15"/>
      <c r="AW97" s="238"/>
      <c r="AX97" s="14"/>
      <c r="AY97" s="10"/>
      <c r="AZ97" s="10"/>
      <c r="BA97" s="10"/>
      <c r="BB97" s="10"/>
      <c r="BC97" s="10"/>
      <c r="BD97" s="10"/>
      <c r="BE97" s="10"/>
      <c r="BF97" s="10"/>
      <c r="BG97" s="15"/>
      <c r="BH97" s="238"/>
      <c r="BI97" s="14"/>
      <c r="BJ97" s="10"/>
      <c r="BK97" s="10"/>
      <c r="BL97" s="10"/>
      <c r="BM97" s="10"/>
      <c r="BN97" s="10"/>
      <c r="BO97" s="10"/>
      <c r="BP97" s="10"/>
      <c r="BQ97" s="10"/>
      <c r="BR97" s="15"/>
      <c r="BS97" s="238"/>
      <c r="BT97" s="14"/>
      <c r="BU97" s="10"/>
      <c r="BV97" s="10"/>
      <c r="BW97" s="10"/>
      <c r="BX97" s="10"/>
      <c r="BY97" s="10"/>
      <c r="BZ97" s="10"/>
      <c r="CA97" s="10"/>
      <c r="CB97" s="14"/>
      <c r="CC97" s="10"/>
      <c r="CD97" s="10"/>
      <c r="CE97" s="10"/>
      <c r="CF97" s="10"/>
      <c r="CG97" s="10"/>
      <c r="CH97" s="10"/>
      <c r="CI97" s="238"/>
      <c r="CJ97" s="14"/>
      <c r="CK97" s="10"/>
      <c r="CL97" s="10"/>
      <c r="CM97" s="10"/>
      <c r="CN97" s="10"/>
      <c r="CO97" s="10"/>
      <c r="CP97" s="10"/>
      <c r="CQ97" s="10"/>
      <c r="CR97" s="14"/>
      <c r="CS97" s="10"/>
      <c r="CT97" s="10"/>
      <c r="CU97" s="10"/>
      <c r="CV97" s="10"/>
      <c r="CW97" s="10"/>
      <c r="CX97" s="10"/>
      <c r="CY97" s="238"/>
      <c r="CZ97" s="14"/>
      <c r="DA97" s="10"/>
      <c r="DB97" s="10"/>
      <c r="DC97" s="10"/>
      <c r="DD97" s="10"/>
      <c r="DE97" s="10"/>
      <c r="DF97" s="10"/>
      <c r="DG97" s="10"/>
      <c r="DH97" s="14"/>
      <c r="DI97" s="10"/>
      <c r="DJ97" s="10"/>
      <c r="DK97" s="10"/>
      <c r="DL97" s="10"/>
      <c r="DM97" s="10"/>
      <c r="DN97" s="10"/>
      <c r="DO97" s="238"/>
      <c r="DP97" s="14"/>
      <c r="DQ97" s="10"/>
      <c r="DR97" s="10"/>
      <c r="DS97" s="10"/>
      <c r="DT97" s="10"/>
      <c r="DU97" s="10"/>
      <c r="DV97" s="10"/>
      <c r="DW97" s="10"/>
      <c r="DX97" s="14"/>
      <c r="DY97" s="10"/>
      <c r="DZ97" s="10"/>
      <c r="EA97" s="10"/>
      <c r="EB97" s="10"/>
      <c r="EC97" s="10"/>
      <c r="ED97" s="10"/>
      <c r="EE97" s="238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238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238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238"/>
      <c r="FP97" s="14"/>
      <c r="FQ97" s="14"/>
      <c r="FR97" s="14"/>
      <c r="FS97" s="14"/>
      <c r="FT97" s="14"/>
      <c r="FU97" s="238"/>
      <c r="FV97" s="14"/>
      <c r="FW97" s="14"/>
      <c r="FX97" s="14"/>
      <c r="FY97" s="14"/>
      <c r="FZ97" s="14"/>
      <c r="GA97" s="120"/>
      <c r="GB97" s="122" t="str">
        <f t="shared" si="36"/>
        <v/>
      </c>
      <c r="GC97" s="140" t="str">
        <f t="shared" si="37"/>
        <v/>
      </c>
      <c r="GD97" s="122">
        <f t="shared" si="38"/>
        <v>0</v>
      </c>
      <c r="GE97" s="122">
        <f t="shared" si="39"/>
        <v>0</v>
      </c>
      <c r="GF97" s="122">
        <f t="shared" si="40"/>
        <v>0</v>
      </c>
      <c r="GG97" s="122">
        <f t="shared" si="41"/>
        <v>0</v>
      </c>
      <c r="GH97" s="122">
        <f t="shared" si="42"/>
        <v>0</v>
      </c>
      <c r="GI97" s="122">
        <f t="shared" si="43"/>
        <v>0</v>
      </c>
      <c r="GJ97" s="122">
        <f t="shared" si="44"/>
        <v>0</v>
      </c>
      <c r="GK97" s="122">
        <f t="shared" si="45"/>
        <v>0</v>
      </c>
      <c r="GL97" s="122">
        <f t="shared" si="46"/>
        <v>0</v>
      </c>
      <c r="GM97" s="122">
        <f t="shared" si="47"/>
        <v>0</v>
      </c>
      <c r="GN97" s="122">
        <f t="shared" si="48"/>
        <v>0</v>
      </c>
      <c r="GO97" s="122">
        <f t="shared" si="49"/>
        <v>0</v>
      </c>
      <c r="GP97" s="122">
        <f t="shared" si="50"/>
        <v>0</v>
      </c>
      <c r="GQ97" s="122">
        <f t="shared" si="51"/>
        <v>0</v>
      </c>
      <c r="GR97" s="122">
        <f t="shared" si="52"/>
        <v>0</v>
      </c>
      <c r="GS97" s="123">
        <f t="shared" si="53"/>
        <v>0</v>
      </c>
      <c r="GT97"/>
      <c r="GU97"/>
      <c r="GV97"/>
      <c r="GW97" s="124"/>
      <c r="GX97" s="118"/>
      <c r="GY97" s="118"/>
      <c r="GZ97" s="118"/>
      <c r="HA97" s="118"/>
      <c r="HB97" s="118"/>
      <c r="HC97" s="118"/>
      <c r="HD97" s="118"/>
      <c r="HE97" s="118"/>
      <c r="HF97" s="118"/>
      <c r="HG97" s="118"/>
      <c r="HH97" s="118"/>
      <c r="HI97" s="118"/>
      <c r="HJ97" s="118"/>
      <c r="HK97" s="118"/>
      <c r="HL97" s="118"/>
    </row>
    <row r="98" spans="1:220" s="74" customFormat="1" ht="30" hidden="1" customHeight="1" x14ac:dyDescent="0.35">
      <c r="A98" s="119">
        <v>89</v>
      </c>
      <c r="B98" s="3"/>
      <c r="C98" s="6"/>
      <c r="D98" s="3"/>
      <c r="E98" s="246"/>
      <c r="F98" s="8"/>
      <c r="G98" s="8"/>
      <c r="H98" s="8"/>
      <c r="I98" s="8"/>
      <c r="J98" s="8"/>
      <c r="K98" s="8"/>
      <c r="L98" s="8"/>
      <c r="M98" s="8"/>
      <c r="N98" s="8"/>
      <c r="O98" s="9"/>
      <c r="P98" s="238"/>
      <c r="Q98" s="12"/>
      <c r="R98" s="8"/>
      <c r="S98" s="8"/>
      <c r="T98" s="8"/>
      <c r="U98" s="8"/>
      <c r="V98" s="8"/>
      <c r="W98" s="8"/>
      <c r="X98" s="8"/>
      <c r="Y98" s="8"/>
      <c r="Z98" s="13"/>
      <c r="AA98" s="238"/>
      <c r="AB98" s="12"/>
      <c r="AC98" s="8"/>
      <c r="AD98" s="8"/>
      <c r="AE98" s="8"/>
      <c r="AF98" s="8"/>
      <c r="AG98" s="8"/>
      <c r="AH98" s="8"/>
      <c r="AI98" s="8"/>
      <c r="AJ98" s="8"/>
      <c r="AK98" s="13"/>
      <c r="AL98" s="238"/>
      <c r="AM98" s="12"/>
      <c r="AN98" s="8"/>
      <c r="AO98" s="8"/>
      <c r="AP98" s="8"/>
      <c r="AQ98" s="8"/>
      <c r="AR98" s="8"/>
      <c r="AS98" s="8"/>
      <c r="AT98" s="8"/>
      <c r="AU98" s="8"/>
      <c r="AV98" s="13"/>
      <c r="AW98" s="238"/>
      <c r="AX98" s="12"/>
      <c r="AY98" s="8"/>
      <c r="AZ98" s="8"/>
      <c r="BA98" s="8"/>
      <c r="BB98" s="8"/>
      <c r="BC98" s="8"/>
      <c r="BD98" s="8"/>
      <c r="BE98" s="8"/>
      <c r="BF98" s="8"/>
      <c r="BG98" s="13"/>
      <c r="BH98" s="238"/>
      <c r="BI98" s="12"/>
      <c r="BJ98" s="8"/>
      <c r="BK98" s="8"/>
      <c r="BL98" s="8"/>
      <c r="BM98" s="8"/>
      <c r="BN98" s="8"/>
      <c r="BO98" s="8"/>
      <c r="BP98" s="8"/>
      <c r="BQ98" s="8"/>
      <c r="BR98" s="13"/>
      <c r="BS98" s="238"/>
      <c r="BT98" s="12"/>
      <c r="BU98" s="8"/>
      <c r="BV98" s="8"/>
      <c r="BW98" s="8"/>
      <c r="BX98" s="8"/>
      <c r="BY98" s="8"/>
      <c r="BZ98" s="8"/>
      <c r="CA98" s="8"/>
      <c r="CB98" s="12"/>
      <c r="CC98" s="8"/>
      <c r="CD98" s="8"/>
      <c r="CE98" s="8"/>
      <c r="CF98" s="8"/>
      <c r="CG98" s="8"/>
      <c r="CH98" s="8"/>
      <c r="CI98" s="238"/>
      <c r="CJ98" s="12"/>
      <c r="CK98" s="8"/>
      <c r="CL98" s="8"/>
      <c r="CM98" s="8"/>
      <c r="CN98" s="8"/>
      <c r="CO98" s="8"/>
      <c r="CP98" s="8"/>
      <c r="CQ98" s="8"/>
      <c r="CR98" s="12"/>
      <c r="CS98" s="8"/>
      <c r="CT98" s="8"/>
      <c r="CU98" s="8"/>
      <c r="CV98" s="8"/>
      <c r="CW98" s="8"/>
      <c r="CX98" s="8"/>
      <c r="CY98" s="238"/>
      <c r="CZ98" s="12"/>
      <c r="DA98" s="8"/>
      <c r="DB98" s="8"/>
      <c r="DC98" s="8"/>
      <c r="DD98" s="8"/>
      <c r="DE98" s="8"/>
      <c r="DF98" s="8"/>
      <c r="DG98" s="8"/>
      <c r="DH98" s="12"/>
      <c r="DI98" s="8"/>
      <c r="DJ98" s="8"/>
      <c r="DK98" s="8"/>
      <c r="DL98" s="8"/>
      <c r="DM98" s="8"/>
      <c r="DN98" s="8"/>
      <c r="DO98" s="238"/>
      <c r="DP98" s="12"/>
      <c r="DQ98" s="8"/>
      <c r="DR98" s="8"/>
      <c r="DS98" s="8"/>
      <c r="DT98" s="8"/>
      <c r="DU98" s="8"/>
      <c r="DV98" s="8"/>
      <c r="DW98" s="8"/>
      <c r="DX98" s="12"/>
      <c r="DY98" s="8"/>
      <c r="DZ98" s="8"/>
      <c r="EA98" s="8"/>
      <c r="EB98" s="8"/>
      <c r="EC98" s="8"/>
      <c r="ED98" s="8"/>
      <c r="EE98" s="238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238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238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238"/>
      <c r="FP98" s="12"/>
      <c r="FQ98" s="12"/>
      <c r="FR98" s="12"/>
      <c r="FS98" s="12"/>
      <c r="FT98" s="12"/>
      <c r="FU98" s="238"/>
      <c r="FV98" s="12"/>
      <c r="FW98" s="12"/>
      <c r="FX98" s="12"/>
      <c r="FY98" s="12"/>
      <c r="FZ98" s="12"/>
      <c r="GA98" s="120"/>
      <c r="GB98" s="118" t="str">
        <f t="shared" si="36"/>
        <v/>
      </c>
      <c r="GC98" s="139" t="str">
        <f t="shared" si="37"/>
        <v/>
      </c>
      <c r="GD98" s="118">
        <f t="shared" si="38"/>
        <v>0</v>
      </c>
      <c r="GE98" s="118">
        <f t="shared" si="39"/>
        <v>0</v>
      </c>
      <c r="GF98" s="118">
        <f t="shared" si="40"/>
        <v>0</v>
      </c>
      <c r="GG98" s="118">
        <f t="shared" si="41"/>
        <v>0</v>
      </c>
      <c r="GH98" s="118">
        <f t="shared" si="42"/>
        <v>0</v>
      </c>
      <c r="GI98" s="118">
        <f t="shared" si="43"/>
        <v>0</v>
      </c>
      <c r="GJ98" s="118">
        <f t="shared" si="44"/>
        <v>0</v>
      </c>
      <c r="GK98" s="118">
        <f t="shared" si="45"/>
        <v>0</v>
      </c>
      <c r="GL98" s="118">
        <f t="shared" si="46"/>
        <v>0</v>
      </c>
      <c r="GM98" s="118">
        <f t="shared" si="47"/>
        <v>0</v>
      </c>
      <c r="GN98" s="118">
        <f t="shared" si="48"/>
        <v>0</v>
      </c>
      <c r="GO98" s="118">
        <f t="shared" si="49"/>
        <v>0</v>
      </c>
      <c r="GP98" s="118">
        <f t="shared" si="50"/>
        <v>0</v>
      </c>
      <c r="GQ98" s="118">
        <f t="shared" si="51"/>
        <v>0</v>
      </c>
      <c r="GR98" s="118">
        <f t="shared" si="52"/>
        <v>0</v>
      </c>
      <c r="GS98" s="121">
        <f t="shared" si="53"/>
        <v>0</v>
      </c>
      <c r="GT98"/>
      <c r="GU98"/>
      <c r="GV98"/>
      <c r="GW98" s="124"/>
      <c r="GX98" s="118"/>
      <c r="GY98" s="118"/>
      <c r="GZ98" s="118"/>
      <c r="HA98" s="118"/>
      <c r="HB98" s="118"/>
      <c r="HC98" s="118"/>
      <c r="HD98" s="118"/>
      <c r="HE98" s="118"/>
      <c r="HF98" s="118"/>
      <c r="HG98" s="118"/>
      <c r="HH98" s="118"/>
      <c r="HI98" s="118"/>
      <c r="HJ98" s="118"/>
      <c r="HK98" s="118"/>
      <c r="HL98" s="118"/>
    </row>
    <row r="99" spans="1:220" s="74" customFormat="1" ht="30" hidden="1" customHeight="1" x14ac:dyDescent="0.35">
      <c r="A99" s="119">
        <v>90</v>
      </c>
      <c r="B99" s="4"/>
      <c r="C99" s="7"/>
      <c r="D99" s="4"/>
      <c r="E99" s="246"/>
      <c r="F99" s="10"/>
      <c r="G99" s="10"/>
      <c r="H99" s="10"/>
      <c r="I99" s="10"/>
      <c r="J99" s="10"/>
      <c r="K99" s="10"/>
      <c r="L99" s="10"/>
      <c r="M99" s="10"/>
      <c r="N99" s="10"/>
      <c r="O99" s="11"/>
      <c r="P99" s="238"/>
      <c r="Q99" s="14"/>
      <c r="R99" s="10"/>
      <c r="S99" s="10"/>
      <c r="T99" s="10"/>
      <c r="U99" s="10"/>
      <c r="V99" s="10"/>
      <c r="W99" s="10"/>
      <c r="X99" s="10"/>
      <c r="Y99" s="10"/>
      <c r="Z99" s="15"/>
      <c r="AA99" s="238"/>
      <c r="AB99" s="14"/>
      <c r="AC99" s="10"/>
      <c r="AD99" s="10"/>
      <c r="AE99" s="10"/>
      <c r="AF99" s="10"/>
      <c r="AG99" s="10"/>
      <c r="AH99" s="10"/>
      <c r="AI99" s="10"/>
      <c r="AJ99" s="10"/>
      <c r="AK99" s="15"/>
      <c r="AL99" s="238"/>
      <c r="AM99" s="14"/>
      <c r="AN99" s="10"/>
      <c r="AO99" s="10"/>
      <c r="AP99" s="10"/>
      <c r="AQ99" s="10"/>
      <c r="AR99" s="10"/>
      <c r="AS99" s="10"/>
      <c r="AT99" s="10"/>
      <c r="AU99" s="10"/>
      <c r="AV99" s="15"/>
      <c r="AW99" s="238"/>
      <c r="AX99" s="14"/>
      <c r="AY99" s="10"/>
      <c r="AZ99" s="10"/>
      <c r="BA99" s="10"/>
      <c r="BB99" s="10"/>
      <c r="BC99" s="10"/>
      <c r="BD99" s="10"/>
      <c r="BE99" s="10"/>
      <c r="BF99" s="10"/>
      <c r="BG99" s="15"/>
      <c r="BH99" s="238"/>
      <c r="BI99" s="14"/>
      <c r="BJ99" s="10"/>
      <c r="BK99" s="10"/>
      <c r="BL99" s="10"/>
      <c r="BM99" s="10"/>
      <c r="BN99" s="10"/>
      <c r="BO99" s="10"/>
      <c r="BP99" s="10"/>
      <c r="BQ99" s="10"/>
      <c r="BR99" s="15"/>
      <c r="BS99" s="238"/>
      <c r="BT99" s="14"/>
      <c r="BU99" s="10"/>
      <c r="BV99" s="10"/>
      <c r="BW99" s="10"/>
      <c r="BX99" s="10"/>
      <c r="BY99" s="10"/>
      <c r="BZ99" s="10"/>
      <c r="CA99" s="10"/>
      <c r="CB99" s="14"/>
      <c r="CC99" s="10"/>
      <c r="CD99" s="10"/>
      <c r="CE99" s="10"/>
      <c r="CF99" s="10"/>
      <c r="CG99" s="10"/>
      <c r="CH99" s="10"/>
      <c r="CI99" s="238"/>
      <c r="CJ99" s="14"/>
      <c r="CK99" s="10"/>
      <c r="CL99" s="10"/>
      <c r="CM99" s="10"/>
      <c r="CN99" s="10"/>
      <c r="CO99" s="10"/>
      <c r="CP99" s="10"/>
      <c r="CQ99" s="10"/>
      <c r="CR99" s="14"/>
      <c r="CS99" s="10"/>
      <c r="CT99" s="10"/>
      <c r="CU99" s="10"/>
      <c r="CV99" s="10"/>
      <c r="CW99" s="10"/>
      <c r="CX99" s="10"/>
      <c r="CY99" s="238"/>
      <c r="CZ99" s="14"/>
      <c r="DA99" s="10"/>
      <c r="DB99" s="10"/>
      <c r="DC99" s="10"/>
      <c r="DD99" s="10"/>
      <c r="DE99" s="10"/>
      <c r="DF99" s="10"/>
      <c r="DG99" s="10"/>
      <c r="DH99" s="14"/>
      <c r="DI99" s="10"/>
      <c r="DJ99" s="10"/>
      <c r="DK99" s="10"/>
      <c r="DL99" s="10"/>
      <c r="DM99" s="10"/>
      <c r="DN99" s="10"/>
      <c r="DO99" s="238"/>
      <c r="DP99" s="14"/>
      <c r="DQ99" s="10"/>
      <c r="DR99" s="10"/>
      <c r="DS99" s="10"/>
      <c r="DT99" s="10"/>
      <c r="DU99" s="10"/>
      <c r="DV99" s="10"/>
      <c r="DW99" s="10"/>
      <c r="DX99" s="14"/>
      <c r="DY99" s="10"/>
      <c r="DZ99" s="10"/>
      <c r="EA99" s="10"/>
      <c r="EB99" s="10"/>
      <c r="EC99" s="10"/>
      <c r="ED99" s="10"/>
      <c r="EE99" s="238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238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/>
      <c r="FC99" s="238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238"/>
      <c r="FP99" s="14"/>
      <c r="FQ99" s="14"/>
      <c r="FR99" s="14"/>
      <c r="FS99" s="14"/>
      <c r="FT99" s="14"/>
      <c r="FU99" s="238"/>
      <c r="FV99" s="14"/>
      <c r="FW99" s="14"/>
      <c r="FX99" s="14"/>
      <c r="FY99" s="14"/>
      <c r="FZ99" s="14"/>
      <c r="GA99" s="120"/>
      <c r="GB99" s="122" t="str">
        <f t="shared" si="36"/>
        <v/>
      </c>
      <c r="GC99" s="140" t="str">
        <f t="shared" si="37"/>
        <v/>
      </c>
      <c r="GD99" s="122">
        <f t="shared" si="38"/>
        <v>0</v>
      </c>
      <c r="GE99" s="122">
        <f t="shared" si="39"/>
        <v>0</v>
      </c>
      <c r="GF99" s="122">
        <f t="shared" si="40"/>
        <v>0</v>
      </c>
      <c r="GG99" s="122">
        <f t="shared" si="41"/>
        <v>0</v>
      </c>
      <c r="GH99" s="122">
        <f t="shared" si="42"/>
        <v>0</v>
      </c>
      <c r="GI99" s="122">
        <f t="shared" si="43"/>
        <v>0</v>
      </c>
      <c r="GJ99" s="122">
        <f t="shared" si="44"/>
        <v>0</v>
      </c>
      <c r="GK99" s="122">
        <f t="shared" si="45"/>
        <v>0</v>
      </c>
      <c r="GL99" s="122">
        <f t="shared" si="46"/>
        <v>0</v>
      </c>
      <c r="GM99" s="122">
        <f t="shared" si="47"/>
        <v>0</v>
      </c>
      <c r="GN99" s="122">
        <f t="shared" si="48"/>
        <v>0</v>
      </c>
      <c r="GO99" s="122">
        <f t="shared" si="49"/>
        <v>0</v>
      </c>
      <c r="GP99" s="122">
        <f t="shared" si="50"/>
        <v>0</v>
      </c>
      <c r="GQ99" s="122">
        <f t="shared" si="51"/>
        <v>0</v>
      </c>
      <c r="GR99" s="122">
        <f t="shared" si="52"/>
        <v>0</v>
      </c>
      <c r="GS99" s="123">
        <f t="shared" si="53"/>
        <v>0</v>
      </c>
      <c r="GT99"/>
      <c r="GU99"/>
      <c r="GV99"/>
      <c r="GW99" s="124"/>
      <c r="GX99" s="118"/>
      <c r="GY99" s="118"/>
      <c r="GZ99" s="118"/>
      <c r="HA99" s="118"/>
      <c r="HB99" s="118"/>
      <c r="HC99" s="118"/>
      <c r="HD99" s="118"/>
      <c r="HE99" s="118"/>
      <c r="HF99" s="118"/>
      <c r="HG99" s="118"/>
      <c r="HH99" s="118"/>
      <c r="HI99" s="118"/>
      <c r="HJ99" s="118"/>
      <c r="HK99" s="118"/>
      <c r="HL99" s="118"/>
    </row>
    <row r="100" spans="1:220" s="74" customFormat="1" ht="30" hidden="1" customHeight="1" x14ac:dyDescent="0.35">
      <c r="A100" s="119">
        <v>91</v>
      </c>
      <c r="B100" s="3"/>
      <c r="C100" s="6"/>
      <c r="D100" s="3"/>
      <c r="E100" s="246"/>
      <c r="F100" s="8"/>
      <c r="G100" s="8"/>
      <c r="H100" s="8"/>
      <c r="I100" s="8"/>
      <c r="J100" s="8"/>
      <c r="K100" s="8"/>
      <c r="L100" s="8"/>
      <c r="M100" s="8"/>
      <c r="N100" s="8"/>
      <c r="O100" s="9"/>
      <c r="P100" s="238"/>
      <c r="Q100" s="12"/>
      <c r="R100" s="8"/>
      <c r="S100" s="8"/>
      <c r="T100" s="8"/>
      <c r="U100" s="8"/>
      <c r="V100" s="8"/>
      <c r="W100" s="8"/>
      <c r="X100" s="8"/>
      <c r="Y100" s="8"/>
      <c r="Z100" s="13"/>
      <c r="AA100" s="238"/>
      <c r="AB100" s="12"/>
      <c r="AC100" s="8"/>
      <c r="AD100" s="8"/>
      <c r="AE100" s="8"/>
      <c r="AF100" s="8"/>
      <c r="AG100" s="8"/>
      <c r="AH100" s="8"/>
      <c r="AI100" s="8"/>
      <c r="AJ100" s="8"/>
      <c r="AK100" s="13"/>
      <c r="AL100" s="238"/>
      <c r="AM100" s="12"/>
      <c r="AN100" s="8"/>
      <c r="AO100" s="8"/>
      <c r="AP100" s="8"/>
      <c r="AQ100" s="8"/>
      <c r="AR100" s="8"/>
      <c r="AS100" s="8"/>
      <c r="AT100" s="8"/>
      <c r="AU100" s="8"/>
      <c r="AV100" s="13"/>
      <c r="AW100" s="238"/>
      <c r="AX100" s="12"/>
      <c r="AY100" s="8"/>
      <c r="AZ100" s="8"/>
      <c r="BA100" s="8"/>
      <c r="BB100" s="8"/>
      <c r="BC100" s="8"/>
      <c r="BD100" s="8"/>
      <c r="BE100" s="8"/>
      <c r="BF100" s="8"/>
      <c r="BG100" s="13"/>
      <c r="BH100" s="238"/>
      <c r="BI100" s="12"/>
      <c r="BJ100" s="8"/>
      <c r="BK100" s="8"/>
      <c r="BL100" s="8"/>
      <c r="BM100" s="8"/>
      <c r="BN100" s="8"/>
      <c r="BO100" s="8"/>
      <c r="BP100" s="8"/>
      <c r="BQ100" s="8"/>
      <c r="BR100" s="13"/>
      <c r="BS100" s="238"/>
      <c r="BT100" s="12"/>
      <c r="BU100" s="8"/>
      <c r="BV100" s="8"/>
      <c r="BW100" s="8"/>
      <c r="BX100" s="8"/>
      <c r="BY100" s="8"/>
      <c r="BZ100" s="8"/>
      <c r="CA100" s="8"/>
      <c r="CB100" s="12"/>
      <c r="CC100" s="8"/>
      <c r="CD100" s="8"/>
      <c r="CE100" s="8"/>
      <c r="CF100" s="8"/>
      <c r="CG100" s="8"/>
      <c r="CH100" s="8"/>
      <c r="CI100" s="238"/>
      <c r="CJ100" s="12"/>
      <c r="CK100" s="8"/>
      <c r="CL100" s="8"/>
      <c r="CM100" s="8"/>
      <c r="CN100" s="8"/>
      <c r="CO100" s="8"/>
      <c r="CP100" s="8"/>
      <c r="CQ100" s="8"/>
      <c r="CR100" s="12"/>
      <c r="CS100" s="8"/>
      <c r="CT100" s="8"/>
      <c r="CU100" s="8"/>
      <c r="CV100" s="8"/>
      <c r="CW100" s="8"/>
      <c r="CX100" s="8"/>
      <c r="CY100" s="238"/>
      <c r="CZ100" s="12"/>
      <c r="DA100" s="8"/>
      <c r="DB100" s="8"/>
      <c r="DC100" s="8"/>
      <c r="DD100" s="8"/>
      <c r="DE100" s="8"/>
      <c r="DF100" s="8"/>
      <c r="DG100" s="8"/>
      <c r="DH100" s="12"/>
      <c r="DI100" s="8"/>
      <c r="DJ100" s="8"/>
      <c r="DK100" s="8"/>
      <c r="DL100" s="8"/>
      <c r="DM100" s="8"/>
      <c r="DN100" s="8"/>
      <c r="DO100" s="238"/>
      <c r="DP100" s="12"/>
      <c r="DQ100" s="8"/>
      <c r="DR100" s="8"/>
      <c r="DS100" s="8"/>
      <c r="DT100" s="8"/>
      <c r="DU100" s="8"/>
      <c r="DV100" s="8"/>
      <c r="DW100" s="8"/>
      <c r="DX100" s="12"/>
      <c r="DY100" s="8"/>
      <c r="DZ100" s="8"/>
      <c r="EA100" s="8"/>
      <c r="EB100" s="8"/>
      <c r="EC100" s="8"/>
      <c r="ED100" s="8"/>
      <c r="EE100" s="238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238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238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238"/>
      <c r="FP100" s="12"/>
      <c r="FQ100" s="12"/>
      <c r="FR100" s="12"/>
      <c r="FS100" s="12"/>
      <c r="FT100" s="12"/>
      <c r="FU100" s="238"/>
      <c r="FV100" s="12"/>
      <c r="FW100" s="12"/>
      <c r="FX100" s="12"/>
      <c r="FY100" s="12"/>
      <c r="FZ100" s="12"/>
      <c r="GA100" s="120"/>
      <c r="GB100" s="118" t="str">
        <f t="shared" si="36"/>
        <v/>
      </c>
      <c r="GC100" s="139" t="str">
        <f t="shared" si="37"/>
        <v/>
      </c>
      <c r="GD100" s="118">
        <f t="shared" si="38"/>
        <v>0</v>
      </c>
      <c r="GE100" s="118">
        <f t="shared" si="39"/>
        <v>0</v>
      </c>
      <c r="GF100" s="118">
        <f t="shared" si="40"/>
        <v>0</v>
      </c>
      <c r="GG100" s="118">
        <f t="shared" si="41"/>
        <v>0</v>
      </c>
      <c r="GH100" s="118">
        <f t="shared" si="42"/>
        <v>0</v>
      </c>
      <c r="GI100" s="118">
        <f t="shared" si="43"/>
        <v>0</v>
      </c>
      <c r="GJ100" s="118">
        <f t="shared" si="44"/>
        <v>0</v>
      </c>
      <c r="GK100" s="118">
        <f t="shared" si="45"/>
        <v>0</v>
      </c>
      <c r="GL100" s="118">
        <f t="shared" si="46"/>
        <v>0</v>
      </c>
      <c r="GM100" s="118">
        <f t="shared" si="47"/>
        <v>0</v>
      </c>
      <c r="GN100" s="118">
        <f t="shared" si="48"/>
        <v>0</v>
      </c>
      <c r="GO100" s="118">
        <f t="shared" si="49"/>
        <v>0</v>
      </c>
      <c r="GP100" s="118">
        <f t="shared" si="50"/>
        <v>0</v>
      </c>
      <c r="GQ100" s="118">
        <f t="shared" si="51"/>
        <v>0</v>
      </c>
      <c r="GR100" s="118">
        <f t="shared" si="52"/>
        <v>0</v>
      </c>
      <c r="GS100" s="121">
        <f t="shared" si="53"/>
        <v>0</v>
      </c>
      <c r="GT100"/>
      <c r="GU100"/>
      <c r="GV100"/>
      <c r="GW100" s="124"/>
      <c r="GX100" s="118"/>
      <c r="GY100" s="118"/>
      <c r="GZ100" s="118"/>
      <c r="HA100" s="118"/>
      <c r="HB100" s="118"/>
      <c r="HC100" s="118"/>
      <c r="HD100" s="118"/>
      <c r="HE100" s="118"/>
      <c r="HF100" s="118"/>
      <c r="HG100" s="118"/>
      <c r="HH100" s="118"/>
      <c r="HI100" s="118"/>
      <c r="HJ100" s="118"/>
      <c r="HK100" s="118"/>
      <c r="HL100" s="118"/>
    </row>
    <row r="101" spans="1:220" s="74" customFormat="1" ht="30" hidden="1" customHeight="1" x14ac:dyDescent="0.35">
      <c r="A101" s="119">
        <v>92</v>
      </c>
      <c r="B101" s="4"/>
      <c r="C101" s="7"/>
      <c r="D101" s="4"/>
      <c r="E101" s="246"/>
      <c r="F101" s="10"/>
      <c r="G101" s="10"/>
      <c r="H101" s="10"/>
      <c r="I101" s="10"/>
      <c r="J101" s="10"/>
      <c r="K101" s="10"/>
      <c r="L101" s="10"/>
      <c r="M101" s="10"/>
      <c r="N101" s="10"/>
      <c r="O101" s="11"/>
      <c r="P101" s="238"/>
      <c r="Q101" s="14"/>
      <c r="R101" s="10"/>
      <c r="S101" s="10"/>
      <c r="T101" s="10"/>
      <c r="U101" s="10"/>
      <c r="V101" s="10"/>
      <c r="W101" s="10"/>
      <c r="X101" s="10"/>
      <c r="Y101" s="10"/>
      <c r="Z101" s="15"/>
      <c r="AA101" s="238"/>
      <c r="AB101" s="14"/>
      <c r="AC101" s="10"/>
      <c r="AD101" s="10"/>
      <c r="AE101" s="10"/>
      <c r="AF101" s="10"/>
      <c r="AG101" s="10"/>
      <c r="AH101" s="10"/>
      <c r="AI101" s="10"/>
      <c r="AJ101" s="10"/>
      <c r="AK101" s="15"/>
      <c r="AL101" s="238"/>
      <c r="AM101" s="14"/>
      <c r="AN101" s="10"/>
      <c r="AO101" s="10"/>
      <c r="AP101" s="10"/>
      <c r="AQ101" s="10"/>
      <c r="AR101" s="10"/>
      <c r="AS101" s="10"/>
      <c r="AT101" s="10"/>
      <c r="AU101" s="10"/>
      <c r="AV101" s="15"/>
      <c r="AW101" s="238"/>
      <c r="AX101" s="14"/>
      <c r="AY101" s="10"/>
      <c r="AZ101" s="10"/>
      <c r="BA101" s="10"/>
      <c r="BB101" s="10"/>
      <c r="BC101" s="10"/>
      <c r="BD101" s="10"/>
      <c r="BE101" s="10"/>
      <c r="BF101" s="10"/>
      <c r="BG101" s="15"/>
      <c r="BH101" s="238"/>
      <c r="BI101" s="14"/>
      <c r="BJ101" s="10"/>
      <c r="BK101" s="10"/>
      <c r="BL101" s="10"/>
      <c r="BM101" s="10"/>
      <c r="BN101" s="10"/>
      <c r="BO101" s="10"/>
      <c r="BP101" s="10"/>
      <c r="BQ101" s="10"/>
      <c r="BR101" s="15"/>
      <c r="BS101" s="238"/>
      <c r="BT101" s="14"/>
      <c r="BU101" s="10"/>
      <c r="BV101" s="10"/>
      <c r="BW101" s="10"/>
      <c r="BX101" s="10"/>
      <c r="BY101" s="10"/>
      <c r="BZ101" s="10"/>
      <c r="CA101" s="10"/>
      <c r="CB101" s="14"/>
      <c r="CC101" s="10"/>
      <c r="CD101" s="10"/>
      <c r="CE101" s="10"/>
      <c r="CF101" s="10"/>
      <c r="CG101" s="10"/>
      <c r="CH101" s="10"/>
      <c r="CI101" s="238"/>
      <c r="CJ101" s="14"/>
      <c r="CK101" s="10"/>
      <c r="CL101" s="10"/>
      <c r="CM101" s="10"/>
      <c r="CN101" s="10"/>
      <c r="CO101" s="10"/>
      <c r="CP101" s="10"/>
      <c r="CQ101" s="10"/>
      <c r="CR101" s="14"/>
      <c r="CS101" s="10"/>
      <c r="CT101" s="10"/>
      <c r="CU101" s="10"/>
      <c r="CV101" s="10"/>
      <c r="CW101" s="10"/>
      <c r="CX101" s="10"/>
      <c r="CY101" s="238"/>
      <c r="CZ101" s="14"/>
      <c r="DA101" s="10"/>
      <c r="DB101" s="10"/>
      <c r="DC101" s="10"/>
      <c r="DD101" s="10"/>
      <c r="DE101" s="10"/>
      <c r="DF101" s="10"/>
      <c r="DG101" s="10"/>
      <c r="DH101" s="14"/>
      <c r="DI101" s="10"/>
      <c r="DJ101" s="10"/>
      <c r="DK101" s="10"/>
      <c r="DL101" s="10"/>
      <c r="DM101" s="10"/>
      <c r="DN101" s="10"/>
      <c r="DO101" s="238"/>
      <c r="DP101" s="14"/>
      <c r="DQ101" s="10"/>
      <c r="DR101" s="10"/>
      <c r="DS101" s="10"/>
      <c r="DT101" s="10"/>
      <c r="DU101" s="10"/>
      <c r="DV101" s="10"/>
      <c r="DW101" s="10"/>
      <c r="DX101" s="14"/>
      <c r="DY101" s="10"/>
      <c r="DZ101" s="10"/>
      <c r="EA101" s="10"/>
      <c r="EB101" s="10"/>
      <c r="EC101" s="10"/>
      <c r="ED101" s="10"/>
      <c r="EE101" s="238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238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238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238"/>
      <c r="FP101" s="14"/>
      <c r="FQ101" s="14"/>
      <c r="FR101" s="14"/>
      <c r="FS101" s="14"/>
      <c r="FT101" s="14"/>
      <c r="FU101" s="238"/>
      <c r="FV101" s="14"/>
      <c r="FW101" s="14"/>
      <c r="FX101" s="14"/>
      <c r="FY101" s="14"/>
      <c r="FZ101" s="14"/>
      <c r="GA101" s="120"/>
      <c r="GB101" s="122" t="str">
        <f t="shared" si="36"/>
        <v/>
      </c>
      <c r="GC101" s="140" t="str">
        <f t="shared" si="37"/>
        <v/>
      </c>
      <c r="GD101" s="122">
        <f t="shared" si="38"/>
        <v>0</v>
      </c>
      <c r="GE101" s="122">
        <f t="shared" si="39"/>
        <v>0</v>
      </c>
      <c r="GF101" s="122">
        <f t="shared" si="40"/>
        <v>0</v>
      </c>
      <c r="GG101" s="122">
        <f t="shared" si="41"/>
        <v>0</v>
      </c>
      <c r="GH101" s="122">
        <f t="shared" si="42"/>
        <v>0</v>
      </c>
      <c r="GI101" s="122">
        <f t="shared" si="43"/>
        <v>0</v>
      </c>
      <c r="GJ101" s="122">
        <f t="shared" si="44"/>
        <v>0</v>
      </c>
      <c r="GK101" s="122">
        <f t="shared" si="45"/>
        <v>0</v>
      </c>
      <c r="GL101" s="122">
        <f t="shared" si="46"/>
        <v>0</v>
      </c>
      <c r="GM101" s="122">
        <f t="shared" si="47"/>
        <v>0</v>
      </c>
      <c r="GN101" s="122">
        <f t="shared" si="48"/>
        <v>0</v>
      </c>
      <c r="GO101" s="122">
        <f t="shared" si="49"/>
        <v>0</v>
      </c>
      <c r="GP101" s="122">
        <f t="shared" si="50"/>
        <v>0</v>
      </c>
      <c r="GQ101" s="122">
        <f t="shared" si="51"/>
        <v>0</v>
      </c>
      <c r="GR101" s="122">
        <f t="shared" si="52"/>
        <v>0</v>
      </c>
      <c r="GS101" s="123">
        <f t="shared" si="53"/>
        <v>0</v>
      </c>
      <c r="GT101"/>
      <c r="GU101"/>
      <c r="GV101"/>
      <c r="GW101" s="124"/>
      <c r="GX101" s="118"/>
      <c r="GY101" s="118"/>
      <c r="GZ101" s="118"/>
      <c r="HA101" s="118"/>
      <c r="HB101" s="118"/>
      <c r="HC101" s="118"/>
      <c r="HD101" s="118"/>
      <c r="HE101" s="118"/>
      <c r="HF101" s="118"/>
      <c r="HG101" s="118"/>
      <c r="HH101" s="118"/>
      <c r="HI101" s="118"/>
      <c r="HJ101" s="118"/>
      <c r="HK101" s="118"/>
      <c r="HL101" s="118"/>
    </row>
    <row r="102" spans="1:220" s="74" customFormat="1" ht="30" hidden="1" customHeight="1" x14ac:dyDescent="0.35">
      <c r="A102" s="119">
        <v>93</v>
      </c>
      <c r="B102" s="3"/>
      <c r="C102" s="6"/>
      <c r="D102" s="3"/>
      <c r="E102" s="246"/>
      <c r="F102" s="8"/>
      <c r="G102" s="8"/>
      <c r="H102" s="8"/>
      <c r="I102" s="8"/>
      <c r="J102" s="8"/>
      <c r="K102" s="8"/>
      <c r="L102" s="8"/>
      <c r="M102" s="8"/>
      <c r="N102" s="8"/>
      <c r="O102" s="9"/>
      <c r="P102" s="238"/>
      <c r="Q102" s="12"/>
      <c r="R102" s="8"/>
      <c r="S102" s="8"/>
      <c r="T102" s="8"/>
      <c r="U102" s="8"/>
      <c r="V102" s="8"/>
      <c r="W102" s="8"/>
      <c r="X102" s="8"/>
      <c r="Y102" s="8"/>
      <c r="Z102" s="13"/>
      <c r="AA102" s="238"/>
      <c r="AB102" s="12"/>
      <c r="AC102" s="8"/>
      <c r="AD102" s="8"/>
      <c r="AE102" s="8"/>
      <c r="AF102" s="8"/>
      <c r="AG102" s="8"/>
      <c r="AH102" s="8"/>
      <c r="AI102" s="8"/>
      <c r="AJ102" s="8"/>
      <c r="AK102" s="13"/>
      <c r="AL102" s="238"/>
      <c r="AM102" s="12"/>
      <c r="AN102" s="8"/>
      <c r="AO102" s="8"/>
      <c r="AP102" s="8"/>
      <c r="AQ102" s="8"/>
      <c r="AR102" s="8"/>
      <c r="AS102" s="8"/>
      <c r="AT102" s="8"/>
      <c r="AU102" s="8"/>
      <c r="AV102" s="13"/>
      <c r="AW102" s="238"/>
      <c r="AX102" s="12"/>
      <c r="AY102" s="8"/>
      <c r="AZ102" s="8"/>
      <c r="BA102" s="8"/>
      <c r="BB102" s="8"/>
      <c r="BC102" s="8"/>
      <c r="BD102" s="8"/>
      <c r="BE102" s="8"/>
      <c r="BF102" s="8"/>
      <c r="BG102" s="13"/>
      <c r="BH102" s="238"/>
      <c r="BI102" s="12"/>
      <c r="BJ102" s="8"/>
      <c r="BK102" s="8"/>
      <c r="BL102" s="8"/>
      <c r="BM102" s="8"/>
      <c r="BN102" s="8"/>
      <c r="BO102" s="8"/>
      <c r="BP102" s="8"/>
      <c r="BQ102" s="8"/>
      <c r="BR102" s="13"/>
      <c r="BS102" s="238"/>
      <c r="BT102" s="12"/>
      <c r="BU102" s="8"/>
      <c r="BV102" s="8"/>
      <c r="BW102" s="8"/>
      <c r="BX102" s="8"/>
      <c r="BY102" s="8"/>
      <c r="BZ102" s="8"/>
      <c r="CA102" s="8"/>
      <c r="CB102" s="12"/>
      <c r="CC102" s="8"/>
      <c r="CD102" s="8"/>
      <c r="CE102" s="8"/>
      <c r="CF102" s="8"/>
      <c r="CG102" s="8"/>
      <c r="CH102" s="8"/>
      <c r="CI102" s="238"/>
      <c r="CJ102" s="12"/>
      <c r="CK102" s="8"/>
      <c r="CL102" s="8"/>
      <c r="CM102" s="8"/>
      <c r="CN102" s="8"/>
      <c r="CO102" s="8"/>
      <c r="CP102" s="8"/>
      <c r="CQ102" s="8"/>
      <c r="CR102" s="12"/>
      <c r="CS102" s="8"/>
      <c r="CT102" s="8"/>
      <c r="CU102" s="8"/>
      <c r="CV102" s="8"/>
      <c r="CW102" s="8"/>
      <c r="CX102" s="8"/>
      <c r="CY102" s="238"/>
      <c r="CZ102" s="12"/>
      <c r="DA102" s="8"/>
      <c r="DB102" s="8"/>
      <c r="DC102" s="8"/>
      <c r="DD102" s="8"/>
      <c r="DE102" s="8"/>
      <c r="DF102" s="8"/>
      <c r="DG102" s="8"/>
      <c r="DH102" s="12"/>
      <c r="DI102" s="8"/>
      <c r="DJ102" s="8"/>
      <c r="DK102" s="8"/>
      <c r="DL102" s="8"/>
      <c r="DM102" s="8"/>
      <c r="DN102" s="8"/>
      <c r="DO102" s="238"/>
      <c r="DP102" s="12"/>
      <c r="DQ102" s="8"/>
      <c r="DR102" s="8"/>
      <c r="DS102" s="8"/>
      <c r="DT102" s="8"/>
      <c r="DU102" s="8"/>
      <c r="DV102" s="8"/>
      <c r="DW102" s="8"/>
      <c r="DX102" s="12"/>
      <c r="DY102" s="8"/>
      <c r="DZ102" s="8"/>
      <c r="EA102" s="8"/>
      <c r="EB102" s="8"/>
      <c r="EC102" s="8"/>
      <c r="ED102" s="8"/>
      <c r="EE102" s="238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238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238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238"/>
      <c r="FP102" s="12"/>
      <c r="FQ102" s="12"/>
      <c r="FR102" s="12"/>
      <c r="FS102" s="12"/>
      <c r="FT102" s="12"/>
      <c r="FU102" s="238"/>
      <c r="FV102" s="12"/>
      <c r="FW102" s="12"/>
      <c r="FX102" s="12"/>
      <c r="FY102" s="12"/>
      <c r="FZ102" s="12"/>
      <c r="GA102" s="120"/>
      <c r="GB102" s="118" t="str">
        <f t="shared" si="36"/>
        <v/>
      </c>
      <c r="GC102" s="139" t="str">
        <f t="shared" si="37"/>
        <v/>
      </c>
      <c r="GD102" s="118">
        <f t="shared" si="38"/>
        <v>0</v>
      </c>
      <c r="GE102" s="118">
        <f t="shared" si="39"/>
        <v>0</v>
      </c>
      <c r="GF102" s="118">
        <f t="shared" si="40"/>
        <v>0</v>
      </c>
      <c r="GG102" s="118">
        <f t="shared" si="41"/>
        <v>0</v>
      </c>
      <c r="GH102" s="118">
        <f t="shared" si="42"/>
        <v>0</v>
      </c>
      <c r="GI102" s="118">
        <f t="shared" si="43"/>
        <v>0</v>
      </c>
      <c r="GJ102" s="118">
        <f t="shared" si="44"/>
        <v>0</v>
      </c>
      <c r="GK102" s="118">
        <f t="shared" si="45"/>
        <v>0</v>
      </c>
      <c r="GL102" s="118">
        <f t="shared" si="46"/>
        <v>0</v>
      </c>
      <c r="GM102" s="118">
        <f t="shared" si="47"/>
        <v>0</v>
      </c>
      <c r="GN102" s="118">
        <f t="shared" si="48"/>
        <v>0</v>
      </c>
      <c r="GO102" s="118">
        <f t="shared" si="49"/>
        <v>0</v>
      </c>
      <c r="GP102" s="118">
        <f t="shared" si="50"/>
        <v>0</v>
      </c>
      <c r="GQ102" s="118">
        <f t="shared" si="51"/>
        <v>0</v>
      </c>
      <c r="GR102" s="118">
        <f t="shared" si="52"/>
        <v>0</v>
      </c>
      <c r="GS102" s="121">
        <f t="shared" si="53"/>
        <v>0</v>
      </c>
      <c r="GT102"/>
      <c r="GU102"/>
      <c r="GV102"/>
      <c r="GW102" s="124"/>
      <c r="GX102" s="118"/>
      <c r="GY102" s="118"/>
      <c r="GZ102" s="118"/>
      <c r="HA102" s="118"/>
      <c r="HB102" s="118"/>
      <c r="HC102" s="118"/>
      <c r="HD102" s="118"/>
      <c r="HE102" s="118"/>
      <c r="HF102" s="118"/>
      <c r="HG102" s="118"/>
      <c r="HH102" s="118"/>
      <c r="HI102" s="118"/>
      <c r="HJ102" s="118"/>
      <c r="HK102" s="118"/>
      <c r="HL102" s="118"/>
    </row>
    <row r="103" spans="1:220" s="74" customFormat="1" ht="30" hidden="1" customHeight="1" x14ac:dyDescent="0.35">
      <c r="A103" s="119">
        <v>94</v>
      </c>
      <c r="B103" s="4"/>
      <c r="C103" s="7"/>
      <c r="D103" s="4"/>
      <c r="E103" s="246"/>
      <c r="F103" s="10"/>
      <c r="G103" s="10"/>
      <c r="H103" s="10"/>
      <c r="I103" s="10"/>
      <c r="J103" s="10"/>
      <c r="K103" s="10"/>
      <c r="L103" s="10"/>
      <c r="M103" s="10"/>
      <c r="N103" s="10"/>
      <c r="O103" s="11"/>
      <c r="P103" s="238"/>
      <c r="Q103" s="14"/>
      <c r="R103" s="10"/>
      <c r="S103" s="10"/>
      <c r="T103" s="10"/>
      <c r="U103" s="10"/>
      <c r="V103" s="10"/>
      <c r="W103" s="10"/>
      <c r="X103" s="10"/>
      <c r="Y103" s="10"/>
      <c r="Z103" s="15"/>
      <c r="AA103" s="238"/>
      <c r="AB103" s="14"/>
      <c r="AC103" s="10"/>
      <c r="AD103" s="10"/>
      <c r="AE103" s="10"/>
      <c r="AF103" s="10"/>
      <c r="AG103" s="10"/>
      <c r="AH103" s="10"/>
      <c r="AI103" s="10"/>
      <c r="AJ103" s="10"/>
      <c r="AK103" s="15"/>
      <c r="AL103" s="238"/>
      <c r="AM103" s="14"/>
      <c r="AN103" s="10"/>
      <c r="AO103" s="10"/>
      <c r="AP103" s="10"/>
      <c r="AQ103" s="10"/>
      <c r="AR103" s="10"/>
      <c r="AS103" s="10"/>
      <c r="AT103" s="10"/>
      <c r="AU103" s="10"/>
      <c r="AV103" s="15"/>
      <c r="AW103" s="238"/>
      <c r="AX103" s="14"/>
      <c r="AY103" s="10"/>
      <c r="AZ103" s="10"/>
      <c r="BA103" s="10"/>
      <c r="BB103" s="10"/>
      <c r="BC103" s="10"/>
      <c r="BD103" s="10"/>
      <c r="BE103" s="10"/>
      <c r="BF103" s="10"/>
      <c r="BG103" s="15"/>
      <c r="BH103" s="238"/>
      <c r="BI103" s="14"/>
      <c r="BJ103" s="10"/>
      <c r="BK103" s="10"/>
      <c r="BL103" s="10"/>
      <c r="BM103" s="10"/>
      <c r="BN103" s="10"/>
      <c r="BO103" s="10"/>
      <c r="BP103" s="10"/>
      <c r="BQ103" s="10"/>
      <c r="BR103" s="15"/>
      <c r="BS103" s="238"/>
      <c r="BT103" s="14"/>
      <c r="BU103" s="10"/>
      <c r="BV103" s="10"/>
      <c r="BW103" s="10"/>
      <c r="BX103" s="10"/>
      <c r="BY103" s="10"/>
      <c r="BZ103" s="10"/>
      <c r="CA103" s="10"/>
      <c r="CB103" s="14"/>
      <c r="CC103" s="10"/>
      <c r="CD103" s="10"/>
      <c r="CE103" s="10"/>
      <c r="CF103" s="10"/>
      <c r="CG103" s="10"/>
      <c r="CH103" s="10"/>
      <c r="CI103" s="238"/>
      <c r="CJ103" s="14"/>
      <c r="CK103" s="10"/>
      <c r="CL103" s="10"/>
      <c r="CM103" s="10"/>
      <c r="CN103" s="10"/>
      <c r="CO103" s="10"/>
      <c r="CP103" s="10"/>
      <c r="CQ103" s="10"/>
      <c r="CR103" s="14"/>
      <c r="CS103" s="10"/>
      <c r="CT103" s="10"/>
      <c r="CU103" s="10"/>
      <c r="CV103" s="10"/>
      <c r="CW103" s="10"/>
      <c r="CX103" s="10"/>
      <c r="CY103" s="238"/>
      <c r="CZ103" s="14"/>
      <c r="DA103" s="10"/>
      <c r="DB103" s="10"/>
      <c r="DC103" s="10"/>
      <c r="DD103" s="10"/>
      <c r="DE103" s="10"/>
      <c r="DF103" s="10"/>
      <c r="DG103" s="10"/>
      <c r="DH103" s="14"/>
      <c r="DI103" s="10"/>
      <c r="DJ103" s="10"/>
      <c r="DK103" s="10"/>
      <c r="DL103" s="10"/>
      <c r="DM103" s="10"/>
      <c r="DN103" s="10"/>
      <c r="DO103" s="238"/>
      <c r="DP103" s="14"/>
      <c r="DQ103" s="10"/>
      <c r="DR103" s="10"/>
      <c r="DS103" s="10"/>
      <c r="DT103" s="10"/>
      <c r="DU103" s="10"/>
      <c r="DV103" s="10"/>
      <c r="DW103" s="10"/>
      <c r="DX103" s="14"/>
      <c r="DY103" s="10"/>
      <c r="DZ103" s="10"/>
      <c r="EA103" s="10"/>
      <c r="EB103" s="10"/>
      <c r="EC103" s="10"/>
      <c r="ED103" s="10"/>
      <c r="EE103" s="238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238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/>
      <c r="FC103" s="238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238"/>
      <c r="FP103" s="14"/>
      <c r="FQ103" s="14"/>
      <c r="FR103" s="14"/>
      <c r="FS103" s="14"/>
      <c r="FT103" s="14"/>
      <c r="FU103" s="238"/>
      <c r="FV103" s="14"/>
      <c r="FW103" s="14"/>
      <c r="FX103" s="14"/>
      <c r="FY103" s="14"/>
      <c r="FZ103" s="14"/>
      <c r="GA103" s="120"/>
      <c r="GB103" s="122" t="str">
        <f t="shared" si="36"/>
        <v/>
      </c>
      <c r="GC103" s="140" t="str">
        <f t="shared" si="37"/>
        <v/>
      </c>
      <c r="GD103" s="122">
        <f t="shared" si="38"/>
        <v>0</v>
      </c>
      <c r="GE103" s="122">
        <f t="shared" si="39"/>
        <v>0</v>
      </c>
      <c r="GF103" s="122">
        <f t="shared" si="40"/>
        <v>0</v>
      </c>
      <c r="GG103" s="122">
        <f t="shared" si="41"/>
        <v>0</v>
      </c>
      <c r="GH103" s="122">
        <f t="shared" si="42"/>
        <v>0</v>
      </c>
      <c r="GI103" s="122">
        <f t="shared" si="43"/>
        <v>0</v>
      </c>
      <c r="GJ103" s="122">
        <f t="shared" si="44"/>
        <v>0</v>
      </c>
      <c r="GK103" s="122">
        <f t="shared" si="45"/>
        <v>0</v>
      </c>
      <c r="GL103" s="122">
        <f t="shared" si="46"/>
        <v>0</v>
      </c>
      <c r="GM103" s="122">
        <f t="shared" si="47"/>
        <v>0</v>
      </c>
      <c r="GN103" s="122">
        <f t="shared" si="48"/>
        <v>0</v>
      </c>
      <c r="GO103" s="122">
        <f t="shared" si="49"/>
        <v>0</v>
      </c>
      <c r="GP103" s="122">
        <f t="shared" si="50"/>
        <v>0</v>
      </c>
      <c r="GQ103" s="122">
        <f t="shared" si="51"/>
        <v>0</v>
      </c>
      <c r="GR103" s="122">
        <f t="shared" si="52"/>
        <v>0</v>
      </c>
      <c r="GS103" s="123">
        <f t="shared" si="53"/>
        <v>0</v>
      </c>
      <c r="GT103"/>
      <c r="GU103"/>
      <c r="GV103"/>
      <c r="GW103" s="124"/>
      <c r="GX103" s="118"/>
      <c r="GY103" s="118"/>
      <c r="GZ103" s="118"/>
      <c r="HA103" s="118"/>
      <c r="HB103" s="118"/>
      <c r="HC103" s="118"/>
      <c r="HD103" s="118"/>
      <c r="HE103" s="118"/>
      <c r="HF103" s="118"/>
      <c r="HG103" s="118"/>
      <c r="HH103" s="118"/>
      <c r="HI103" s="118"/>
      <c r="HJ103" s="118"/>
      <c r="HK103" s="118"/>
      <c r="HL103" s="118"/>
    </row>
    <row r="104" spans="1:220" s="74" customFormat="1" ht="30" hidden="1" customHeight="1" x14ac:dyDescent="0.35">
      <c r="A104" s="119">
        <v>95</v>
      </c>
      <c r="B104" s="3"/>
      <c r="C104" s="6"/>
      <c r="D104" s="3"/>
      <c r="E104" s="246"/>
      <c r="F104" s="8"/>
      <c r="G104" s="8"/>
      <c r="H104" s="8"/>
      <c r="I104" s="8"/>
      <c r="J104" s="8"/>
      <c r="K104" s="8"/>
      <c r="L104" s="8"/>
      <c r="M104" s="8"/>
      <c r="N104" s="8"/>
      <c r="O104" s="9"/>
      <c r="P104" s="238"/>
      <c r="Q104" s="12"/>
      <c r="R104" s="8"/>
      <c r="S104" s="8"/>
      <c r="T104" s="8"/>
      <c r="U104" s="8"/>
      <c r="V104" s="8"/>
      <c r="W104" s="8"/>
      <c r="X104" s="8"/>
      <c r="Y104" s="8"/>
      <c r="Z104" s="13"/>
      <c r="AA104" s="238"/>
      <c r="AB104" s="12"/>
      <c r="AC104" s="8"/>
      <c r="AD104" s="8"/>
      <c r="AE104" s="8"/>
      <c r="AF104" s="8"/>
      <c r="AG104" s="8"/>
      <c r="AH104" s="8"/>
      <c r="AI104" s="8"/>
      <c r="AJ104" s="8"/>
      <c r="AK104" s="13"/>
      <c r="AL104" s="238"/>
      <c r="AM104" s="12"/>
      <c r="AN104" s="8"/>
      <c r="AO104" s="8"/>
      <c r="AP104" s="8"/>
      <c r="AQ104" s="8"/>
      <c r="AR104" s="8"/>
      <c r="AS104" s="8"/>
      <c r="AT104" s="8"/>
      <c r="AU104" s="8"/>
      <c r="AV104" s="13"/>
      <c r="AW104" s="238"/>
      <c r="AX104" s="12"/>
      <c r="AY104" s="8"/>
      <c r="AZ104" s="8"/>
      <c r="BA104" s="8"/>
      <c r="BB104" s="8"/>
      <c r="BC104" s="8"/>
      <c r="BD104" s="8"/>
      <c r="BE104" s="8"/>
      <c r="BF104" s="8"/>
      <c r="BG104" s="13"/>
      <c r="BH104" s="238"/>
      <c r="BI104" s="12"/>
      <c r="BJ104" s="8"/>
      <c r="BK104" s="8"/>
      <c r="BL104" s="8"/>
      <c r="BM104" s="8"/>
      <c r="BN104" s="8"/>
      <c r="BO104" s="8"/>
      <c r="BP104" s="8"/>
      <c r="BQ104" s="8"/>
      <c r="BR104" s="13"/>
      <c r="BS104" s="238"/>
      <c r="BT104" s="12"/>
      <c r="BU104" s="8"/>
      <c r="BV104" s="8"/>
      <c r="BW104" s="8"/>
      <c r="BX104" s="8"/>
      <c r="BY104" s="8"/>
      <c r="BZ104" s="8"/>
      <c r="CA104" s="8"/>
      <c r="CB104" s="12"/>
      <c r="CC104" s="8"/>
      <c r="CD104" s="8"/>
      <c r="CE104" s="8"/>
      <c r="CF104" s="8"/>
      <c r="CG104" s="8"/>
      <c r="CH104" s="8"/>
      <c r="CI104" s="238"/>
      <c r="CJ104" s="12"/>
      <c r="CK104" s="8"/>
      <c r="CL104" s="8"/>
      <c r="CM104" s="8"/>
      <c r="CN104" s="8"/>
      <c r="CO104" s="8"/>
      <c r="CP104" s="8"/>
      <c r="CQ104" s="8"/>
      <c r="CR104" s="12"/>
      <c r="CS104" s="8"/>
      <c r="CT104" s="8"/>
      <c r="CU104" s="8"/>
      <c r="CV104" s="8"/>
      <c r="CW104" s="8"/>
      <c r="CX104" s="8"/>
      <c r="CY104" s="238"/>
      <c r="CZ104" s="12"/>
      <c r="DA104" s="8"/>
      <c r="DB104" s="8"/>
      <c r="DC104" s="8"/>
      <c r="DD104" s="8"/>
      <c r="DE104" s="8"/>
      <c r="DF104" s="8"/>
      <c r="DG104" s="8"/>
      <c r="DH104" s="12"/>
      <c r="DI104" s="8"/>
      <c r="DJ104" s="8"/>
      <c r="DK104" s="8"/>
      <c r="DL104" s="8"/>
      <c r="DM104" s="8"/>
      <c r="DN104" s="8"/>
      <c r="DO104" s="238"/>
      <c r="DP104" s="12"/>
      <c r="DQ104" s="8"/>
      <c r="DR104" s="8"/>
      <c r="DS104" s="8"/>
      <c r="DT104" s="8"/>
      <c r="DU104" s="8"/>
      <c r="DV104" s="8"/>
      <c r="DW104" s="8"/>
      <c r="DX104" s="12"/>
      <c r="DY104" s="8"/>
      <c r="DZ104" s="8"/>
      <c r="EA104" s="8"/>
      <c r="EB104" s="8"/>
      <c r="EC104" s="8"/>
      <c r="ED104" s="8"/>
      <c r="EE104" s="238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238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238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238"/>
      <c r="FP104" s="12"/>
      <c r="FQ104" s="12"/>
      <c r="FR104" s="12"/>
      <c r="FS104" s="12"/>
      <c r="FT104" s="12"/>
      <c r="FU104" s="238"/>
      <c r="FV104" s="12"/>
      <c r="FW104" s="12"/>
      <c r="FX104" s="12"/>
      <c r="FY104" s="12"/>
      <c r="FZ104" s="12"/>
      <c r="GA104" s="120"/>
      <c r="GB104" s="118" t="str">
        <f t="shared" si="36"/>
        <v/>
      </c>
      <c r="GC104" s="139" t="str">
        <f t="shared" si="37"/>
        <v/>
      </c>
      <c r="GD104" s="118">
        <f t="shared" si="38"/>
        <v>0</v>
      </c>
      <c r="GE104" s="118">
        <f t="shared" si="39"/>
        <v>0</v>
      </c>
      <c r="GF104" s="118">
        <f t="shared" si="40"/>
        <v>0</v>
      </c>
      <c r="GG104" s="118">
        <f t="shared" si="41"/>
        <v>0</v>
      </c>
      <c r="GH104" s="118">
        <f t="shared" si="42"/>
        <v>0</v>
      </c>
      <c r="GI104" s="118">
        <f t="shared" si="43"/>
        <v>0</v>
      </c>
      <c r="GJ104" s="118">
        <f t="shared" si="44"/>
        <v>0</v>
      </c>
      <c r="GK104" s="118">
        <f t="shared" si="45"/>
        <v>0</v>
      </c>
      <c r="GL104" s="118">
        <f t="shared" si="46"/>
        <v>0</v>
      </c>
      <c r="GM104" s="118">
        <f t="shared" si="47"/>
        <v>0</v>
      </c>
      <c r="GN104" s="118">
        <f t="shared" si="48"/>
        <v>0</v>
      </c>
      <c r="GO104" s="118">
        <f t="shared" si="49"/>
        <v>0</v>
      </c>
      <c r="GP104" s="118">
        <f t="shared" si="50"/>
        <v>0</v>
      </c>
      <c r="GQ104" s="118">
        <f t="shared" si="51"/>
        <v>0</v>
      </c>
      <c r="GR104" s="118">
        <f t="shared" si="52"/>
        <v>0</v>
      </c>
      <c r="GS104" s="121">
        <f t="shared" si="53"/>
        <v>0</v>
      </c>
      <c r="GT104"/>
      <c r="GU104"/>
      <c r="GV104"/>
      <c r="GW104" s="124"/>
      <c r="GX104" s="118"/>
      <c r="GY104" s="118"/>
      <c r="GZ104" s="118"/>
      <c r="HA104" s="118"/>
      <c r="HB104" s="118"/>
      <c r="HC104" s="118"/>
      <c r="HD104" s="118"/>
      <c r="HE104" s="118"/>
      <c r="HF104" s="118"/>
      <c r="HG104" s="118"/>
      <c r="HH104" s="118"/>
      <c r="HI104" s="118"/>
      <c r="HJ104" s="118"/>
      <c r="HK104" s="118"/>
      <c r="HL104" s="118"/>
    </row>
    <row r="105" spans="1:220" s="74" customFormat="1" ht="30" hidden="1" customHeight="1" x14ac:dyDescent="0.35">
      <c r="A105" s="119">
        <v>96</v>
      </c>
      <c r="B105" s="4"/>
      <c r="C105" s="7"/>
      <c r="D105" s="4"/>
      <c r="E105" s="246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P105" s="238"/>
      <c r="Q105" s="14"/>
      <c r="R105" s="10"/>
      <c r="S105" s="10"/>
      <c r="T105" s="10"/>
      <c r="U105" s="10"/>
      <c r="V105" s="10"/>
      <c r="W105" s="10"/>
      <c r="X105" s="10"/>
      <c r="Y105" s="10"/>
      <c r="Z105" s="15"/>
      <c r="AA105" s="238"/>
      <c r="AB105" s="14"/>
      <c r="AC105" s="10"/>
      <c r="AD105" s="10"/>
      <c r="AE105" s="10"/>
      <c r="AF105" s="10"/>
      <c r="AG105" s="10"/>
      <c r="AH105" s="10"/>
      <c r="AI105" s="10"/>
      <c r="AJ105" s="10"/>
      <c r="AK105" s="15"/>
      <c r="AL105" s="238"/>
      <c r="AM105" s="14"/>
      <c r="AN105" s="10"/>
      <c r="AO105" s="10"/>
      <c r="AP105" s="10"/>
      <c r="AQ105" s="10"/>
      <c r="AR105" s="10"/>
      <c r="AS105" s="10"/>
      <c r="AT105" s="10"/>
      <c r="AU105" s="10"/>
      <c r="AV105" s="15"/>
      <c r="AW105" s="238"/>
      <c r="AX105" s="14"/>
      <c r="AY105" s="10"/>
      <c r="AZ105" s="10"/>
      <c r="BA105" s="10"/>
      <c r="BB105" s="10"/>
      <c r="BC105" s="10"/>
      <c r="BD105" s="10"/>
      <c r="BE105" s="10"/>
      <c r="BF105" s="10"/>
      <c r="BG105" s="15"/>
      <c r="BH105" s="238"/>
      <c r="BI105" s="14"/>
      <c r="BJ105" s="10"/>
      <c r="BK105" s="10"/>
      <c r="BL105" s="10"/>
      <c r="BM105" s="10"/>
      <c r="BN105" s="10"/>
      <c r="BO105" s="10"/>
      <c r="BP105" s="10"/>
      <c r="BQ105" s="10"/>
      <c r="BR105" s="15"/>
      <c r="BS105" s="238"/>
      <c r="BT105" s="14"/>
      <c r="BU105" s="10"/>
      <c r="BV105" s="10"/>
      <c r="BW105" s="10"/>
      <c r="BX105" s="10"/>
      <c r="BY105" s="10"/>
      <c r="BZ105" s="10"/>
      <c r="CA105" s="10"/>
      <c r="CB105" s="14"/>
      <c r="CC105" s="10"/>
      <c r="CD105" s="10"/>
      <c r="CE105" s="10"/>
      <c r="CF105" s="10"/>
      <c r="CG105" s="10"/>
      <c r="CH105" s="10"/>
      <c r="CI105" s="238"/>
      <c r="CJ105" s="14"/>
      <c r="CK105" s="10"/>
      <c r="CL105" s="10"/>
      <c r="CM105" s="10"/>
      <c r="CN105" s="10"/>
      <c r="CO105" s="10"/>
      <c r="CP105" s="10"/>
      <c r="CQ105" s="10"/>
      <c r="CR105" s="14"/>
      <c r="CS105" s="10"/>
      <c r="CT105" s="10"/>
      <c r="CU105" s="10"/>
      <c r="CV105" s="10"/>
      <c r="CW105" s="10"/>
      <c r="CX105" s="10"/>
      <c r="CY105" s="238"/>
      <c r="CZ105" s="14"/>
      <c r="DA105" s="10"/>
      <c r="DB105" s="10"/>
      <c r="DC105" s="10"/>
      <c r="DD105" s="10"/>
      <c r="DE105" s="10"/>
      <c r="DF105" s="10"/>
      <c r="DG105" s="10"/>
      <c r="DH105" s="14"/>
      <c r="DI105" s="10"/>
      <c r="DJ105" s="10"/>
      <c r="DK105" s="10"/>
      <c r="DL105" s="10"/>
      <c r="DM105" s="10"/>
      <c r="DN105" s="10"/>
      <c r="DO105" s="238"/>
      <c r="DP105" s="14"/>
      <c r="DQ105" s="10"/>
      <c r="DR105" s="10"/>
      <c r="DS105" s="10"/>
      <c r="DT105" s="10"/>
      <c r="DU105" s="10"/>
      <c r="DV105" s="10"/>
      <c r="DW105" s="10"/>
      <c r="DX105" s="14"/>
      <c r="DY105" s="10"/>
      <c r="DZ105" s="10"/>
      <c r="EA105" s="10"/>
      <c r="EB105" s="10"/>
      <c r="EC105" s="10"/>
      <c r="ED105" s="10"/>
      <c r="EE105" s="238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238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/>
      <c r="FC105" s="238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238"/>
      <c r="FP105" s="14"/>
      <c r="FQ105" s="14"/>
      <c r="FR105" s="14"/>
      <c r="FS105" s="14"/>
      <c r="FT105" s="14"/>
      <c r="FU105" s="238"/>
      <c r="FV105" s="14"/>
      <c r="FW105" s="14"/>
      <c r="FX105" s="14"/>
      <c r="FY105" s="14"/>
      <c r="FZ105" s="14"/>
      <c r="GA105" s="120"/>
      <c r="GB105" s="122" t="str">
        <f t="shared" si="36"/>
        <v/>
      </c>
      <c r="GC105" s="140" t="str">
        <f t="shared" si="37"/>
        <v/>
      </c>
      <c r="GD105" s="122">
        <f t="shared" si="38"/>
        <v>0</v>
      </c>
      <c r="GE105" s="122">
        <f t="shared" si="39"/>
        <v>0</v>
      </c>
      <c r="GF105" s="122">
        <f t="shared" si="40"/>
        <v>0</v>
      </c>
      <c r="GG105" s="122">
        <f t="shared" si="41"/>
        <v>0</v>
      </c>
      <c r="GH105" s="122">
        <f t="shared" si="42"/>
        <v>0</v>
      </c>
      <c r="GI105" s="122">
        <f t="shared" si="43"/>
        <v>0</v>
      </c>
      <c r="GJ105" s="122">
        <f t="shared" si="44"/>
        <v>0</v>
      </c>
      <c r="GK105" s="122">
        <f t="shared" si="45"/>
        <v>0</v>
      </c>
      <c r="GL105" s="122">
        <f t="shared" si="46"/>
        <v>0</v>
      </c>
      <c r="GM105" s="122">
        <f t="shared" si="47"/>
        <v>0</v>
      </c>
      <c r="GN105" s="122">
        <f t="shared" si="48"/>
        <v>0</v>
      </c>
      <c r="GO105" s="122">
        <f t="shared" si="49"/>
        <v>0</v>
      </c>
      <c r="GP105" s="122">
        <f t="shared" si="50"/>
        <v>0</v>
      </c>
      <c r="GQ105" s="122">
        <f t="shared" si="51"/>
        <v>0</v>
      </c>
      <c r="GR105" s="122">
        <f t="shared" si="52"/>
        <v>0</v>
      </c>
      <c r="GS105" s="123">
        <f t="shared" si="53"/>
        <v>0</v>
      </c>
      <c r="GT105"/>
      <c r="GU105"/>
      <c r="GV105"/>
      <c r="GW105" s="124"/>
      <c r="GX105" s="118"/>
      <c r="GY105" s="118"/>
      <c r="GZ105" s="118"/>
      <c r="HA105" s="118"/>
      <c r="HB105" s="118"/>
      <c r="HC105" s="118"/>
      <c r="HD105" s="118"/>
      <c r="HE105" s="118"/>
      <c r="HF105" s="118"/>
      <c r="HG105" s="118"/>
      <c r="HH105" s="118"/>
      <c r="HI105" s="118"/>
      <c r="HJ105" s="118"/>
      <c r="HK105" s="118"/>
      <c r="HL105" s="118"/>
    </row>
    <row r="106" spans="1:220" s="74" customFormat="1" ht="30" hidden="1" customHeight="1" x14ac:dyDescent="0.35">
      <c r="A106" s="119">
        <v>97</v>
      </c>
      <c r="B106" s="3"/>
      <c r="C106" s="6"/>
      <c r="D106" s="3"/>
      <c r="E106" s="246"/>
      <c r="F106" s="8"/>
      <c r="G106" s="8"/>
      <c r="H106" s="8"/>
      <c r="I106" s="8"/>
      <c r="J106" s="8"/>
      <c r="K106" s="8"/>
      <c r="L106" s="8"/>
      <c r="M106" s="8"/>
      <c r="N106" s="8"/>
      <c r="O106" s="9"/>
      <c r="P106" s="238"/>
      <c r="Q106" s="12"/>
      <c r="R106" s="8"/>
      <c r="S106" s="8"/>
      <c r="T106" s="8"/>
      <c r="U106" s="8"/>
      <c r="V106" s="8"/>
      <c r="W106" s="8"/>
      <c r="X106" s="8"/>
      <c r="Y106" s="8"/>
      <c r="Z106" s="13"/>
      <c r="AA106" s="238"/>
      <c r="AB106" s="12"/>
      <c r="AC106" s="8"/>
      <c r="AD106" s="8"/>
      <c r="AE106" s="8"/>
      <c r="AF106" s="8"/>
      <c r="AG106" s="8"/>
      <c r="AH106" s="8"/>
      <c r="AI106" s="8"/>
      <c r="AJ106" s="8"/>
      <c r="AK106" s="13"/>
      <c r="AL106" s="238"/>
      <c r="AM106" s="12"/>
      <c r="AN106" s="8"/>
      <c r="AO106" s="8"/>
      <c r="AP106" s="8"/>
      <c r="AQ106" s="8"/>
      <c r="AR106" s="8"/>
      <c r="AS106" s="8"/>
      <c r="AT106" s="8"/>
      <c r="AU106" s="8"/>
      <c r="AV106" s="13"/>
      <c r="AW106" s="238"/>
      <c r="AX106" s="12"/>
      <c r="AY106" s="8"/>
      <c r="AZ106" s="8"/>
      <c r="BA106" s="8"/>
      <c r="BB106" s="8"/>
      <c r="BC106" s="8"/>
      <c r="BD106" s="8"/>
      <c r="BE106" s="8"/>
      <c r="BF106" s="8"/>
      <c r="BG106" s="13"/>
      <c r="BH106" s="238"/>
      <c r="BI106" s="12"/>
      <c r="BJ106" s="8"/>
      <c r="BK106" s="8"/>
      <c r="BL106" s="8"/>
      <c r="BM106" s="8"/>
      <c r="BN106" s="8"/>
      <c r="BO106" s="8"/>
      <c r="BP106" s="8"/>
      <c r="BQ106" s="8"/>
      <c r="BR106" s="13"/>
      <c r="BS106" s="238"/>
      <c r="BT106" s="12"/>
      <c r="BU106" s="8"/>
      <c r="BV106" s="8"/>
      <c r="BW106" s="8"/>
      <c r="BX106" s="8"/>
      <c r="BY106" s="8"/>
      <c r="BZ106" s="8"/>
      <c r="CA106" s="8"/>
      <c r="CB106" s="12"/>
      <c r="CC106" s="8"/>
      <c r="CD106" s="8"/>
      <c r="CE106" s="8"/>
      <c r="CF106" s="8"/>
      <c r="CG106" s="8"/>
      <c r="CH106" s="8"/>
      <c r="CI106" s="238"/>
      <c r="CJ106" s="12"/>
      <c r="CK106" s="8"/>
      <c r="CL106" s="8"/>
      <c r="CM106" s="8"/>
      <c r="CN106" s="8"/>
      <c r="CO106" s="8"/>
      <c r="CP106" s="8"/>
      <c r="CQ106" s="8"/>
      <c r="CR106" s="12"/>
      <c r="CS106" s="8"/>
      <c r="CT106" s="8"/>
      <c r="CU106" s="8"/>
      <c r="CV106" s="8"/>
      <c r="CW106" s="8"/>
      <c r="CX106" s="8"/>
      <c r="CY106" s="238"/>
      <c r="CZ106" s="12"/>
      <c r="DA106" s="8"/>
      <c r="DB106" s="8"/>
      <c r="DC106" s="8"/>
      <c r="DD106" s="8"/>
      <c r="DE106" s="8"/>
      <c r="DF106" s="8"/>
      <c r="DG106" s="8"/>
      <c r="DH106" s="12"/>
      <c r="DI106" s="8"/>
      <c r="DJ106" s="8"/>
      <c r="DK106" s="8"/>
      <c r="DL106" s="8"/>
      <c r="DM106" s="8"/>
      <c r="DN106" s="8"/>
      <c r="DO106" s="238"/>
      <c r="DP106" s="12"/>
      <c r="DQ106" s="8"/>
      <c r="DR106" s="8"/>
      <c r="DS106" s="8"/>
      <c r="DT106" s="8"/>
      <c r="DU106" s="8"/>
      <c r="DV106" s="8"/>
      <c r="DW106" s="8"/>
      <c r="DX106" s="12"/>
      <c r="DY106" s="8"/>
      <c r="DZ106" s="8"/>
      <c r="EA106" s="8"/>
      <c r="EB106" s="8"/>
      <c r="EC106" s="8"/>
      <c r="ED106" s="8"/>
      <c r="EE106" s="238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238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238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238"/>
      <c r="FP106" s="12"/>
      <c r="FQ106" s="12"/>
      <c r="FR106" s="12"/>
      <c r="FS106" s="12"/>
      <c r="FT106" s="12"/>
      <c r="FU106" s="238"/>
      <c r="FV106" s="12"/>
      <c r="FW106" s="12"/>
      <c r="FX106" s="12"/>
      <c r="FY106" s="12"/>
      <c r="FZ106" s="12"/>
      <c r="GA106" s="120"/>
      <c r="GB106" s="118" t="str">
        <f t="shared" ref="GB106:GB137" si="54">IF(B106="","",B106)</f>
        <v/>
      </c>
      <c r="GC106" s="139" t="str">
        <f t="shared" ref="GC106:GC137" si="55">IF(C106="","",C106)</f>
        <v/>
      </c>
      <c r="GD106" s="118">
        <f t="shared" ref="GD106:GD137" si="56">SUM(F106:O106)</f>
        <v>0</v>
      </c>
      <c r="GE106" s="118">
        <f t="shared" ref="GE106:GE137" si="57">SUM(Q106:Z106)</f>
        <v>0</v>
      </c>
      <c r="GF106" s="118">
        <f t="shared" ref="GF106:GF137" si="58">SUM(AB106:AK106)</f>
        <v>0</v>
      </c>
      <c r="GG106" s="118">
        <f t="shared" ref="GG106:GG137" si="59">SUM(AM106:AV106)</f>
        <v>0</v>
      </c>
      <c r="GH106" s="118">
        <f t="shared" ref="GH106:GH137" si="60">SUM(AX106:BG106)</f>
        <v>0</v>
      </c>
      <c r="GI106" s="118">
        <f t="shared" ref="GI106:GI137" si="61">SUM(BI106:BR106)</f>
        <v>0</v>
      </c>
      <c r="GJ106" s="118">
        <f t="shared" ref="GJ106:GJ137" si="62">SUM(BT106:CH106)</f>
        <v>0</v>
      </c>
      <c r="GK106" s="118">
        <f t="shared" ref="GK106:GK137" si="63">SUM(CJ106:CX106)</f>
        <v>0</v>
      </c>
      <c r="GL106" s="118">
        <f t="shared" ref="GL106:GL137" si="64">SUM(CZ106:DN106)</f>
        <v>0</v>
      </c>
      <c r="GM106" s="118">
        <f t="shared" ref="GM106:GM137" si="65">SUM(DP106:ED106)</f>
        <v>0</v>
      </c>
      <c r="GN106" s="118">
        <f t="shared" ref="GN106:GN137" si="66">SUM(EF106:EP106)</f>
        <v>0</v>
      </c>
      <c r="GO106" s="118">
        <f t="shared" ref="GO106:GO137" si="67">SUM(ER106:FB106)</f>
        <v>0</v>
      </c>
      <c r="GP106" s="118">
        <f t="shared" ref="GP106:GP137" si="68">SUM(FD106:FN106)</f>
        <v>0</v>
      </c>
      <c r="GQ106" s="118">
        <f t="shared" ref="GQ106:GQ137" si="69">SUM(FP106:FT106)</f>
        <v>0</v>
      </c>
      <c r="GR106" s="118">
        <f t="shared" ref="GR106:GR137" si="70">SUM(FV106:FZ106)</f>
        <v>0</v>
      </c>
      <c r="GS106" s="121">
        <f t="shared" ref="GS106:GS137" si="71">SUM(GD106:GR106)</f>
        <v>0</v>
      </c>
      <c r="GT106"/>
      <c r="GU106"/>
      <c r="GV106"/>
      <c r="GW106" s="124"/>
      <c r="GX106" s="118"/>
      <c r="GY106" s="118"/>
      <c r="GZ106" s="118"/>
      <c r="HA106" s="118"/>
      <c r="HB106" s="118"/>
      <c r="HC106" s="118"/>
      <c r="HD106" s="118"/>
      <c r="HE106" s="118"/>
      <c r="HF106" s="118"/>
      <c r="HG106" s="118"/>
      <c r="HH106" s="118"/>
      <c r="HI106" s="118"/>
      <c r="HJ106" s="118"/>
      <c r="HK106" s="118"/>
      <c r="HL106" s="118"/>
    </row>
    <row r="107" spans="1:220" s="74" customFormat="1" ht="30" hidden="1" customHeight="1" x14ac:dyDescent="0.35">
      <c r="A107" s="119">
        <v>98</v>
      </c>
      <c r="B107" s="4"/>
      <c r="C107" s="7"/>
      <c r="D107" s="4"/>
      <c r="E107" s="246"/>
      <c r="F107" s="10"/>
      <c r="G107" s="10"/>
      <c r="H107" s="10"/>
      <c r="I107" s="10"/>
      <c r="J107" s="10"/>
      <c r="K107" s="10"/>
      <c r="L107" s="10"/>
      <c r="M107" s="10"/>
      <c r="N107" s="10"/>
      <c r="O107" s="11"/>
      <c r="P107" s="238"/>
      <c r="Q107" s="14"/>
      <c r="R107" s="10"/>
      <c r="S107" s="10"/>
      <c r="T107" s="10"/>
      <c r="U107" s="10"/>
      <c r="V107" s="10"/>
      <c r="W107" s="10"/>
      <c r="X107" s="10"/>
      <c r="Y107" s="10"/>
      <c r="Z107" s="15"/>
      <c r="AA107" s="238"/>
      <c r="AB107" s="14"/>
      <c r="AC107" s="10"/>
      <c r="AD107" s="10"/>
      <c r="AE107" s="10"/>
      <c r="AF107" s="10"/>
      <c r="AG107" s="10"/>
      <c r="AH107" s="10"/>
      <c r="AI107" s="10"/>
      <c r="AJ107" s="10"/>
      <c r="AK107" s="15"/>
      <c r="AL107" s="238"/>
      <c r="AM107" s="14"/>
      <c r="AN107" s="10"/>
      <c r="AO107" s="10"/>
      <c r="AP107" s="10"/>
      <c r="AQ107" s="10"/>
      <c r="AR107" s="10"/>
      <c r="AS107" s="10"/>
      <c r="AT107" s="10"/>
      <c r="AU107" s="10"/>
      <c r="AV107" s="15"/>
      <c r="AW107" s="238"/>
      <c r="AX107" s="14"/>
      <c r="AY107" s="10"/>
      <c r="AZ107" s="10"/>
      <c r="BA107" s="10"/>
      <c r="BB107" s="10"/>
      <c r="BC107" s="10"/>
      <c r="BD107" s="10"/>
      <c r="BE107" s="10"/>
      <c r="BF107" s="10"/>
      <c r="BG107" s="15"/>
      <c r="BH107" s="238"/>
      <c r="BI107" s="14"/>
      <c r="BJ107" s="10"/>
      <c r="BK107" s="10"/>
      <c r="BL107" s="10"/>
      <c r="BM107" s="10"/>
      <c r="BN107" s="10"/>
      <c r="BO107" s="10"/>
      <c r="BP107" s="10"/>
      <c r="BQ107" s="10"/>
      <c r="BR107" s="15"/>
      <c r="BS107" s="238"/>
      <c r="BT107" s="14"/>
      <c r="BU107" s="10"/>
      <c r="BV107" s="10"/>
      <c r="BW107" s="10"/>
      <c r="BX107" s="10"/>
      <c r="BY107" s="10"/>
      <c r="BZ107" s="10"/>
      <c r="CA107" s="10"/>
      <c r="CB107" s="14"/>
      <c r="CC107" s="10"/>
      <c r="CD107" s="10"/>
      <c r="CE107" s="10"/>
      <c r="CF107" s="10"/>
      <c r="CG107" s="10"/>
      <c r="CH107" s="10"/>
      <c r="CI107" s="238"/>
      <c r="CJ107" s="14"/>
      <c r="CK107" s="10"/>
      <c r="CL107" s="10"/>
      <c r="CM107" s="10"/>
      <c r="CN107" s="10"/>
      <c r="CO107" s="10"/>
      <c r="CP107" s="10"/>
      <c r="CQ107" s="10"/>
      <c r="CR107" s="14"/>
      <c r="CS107" s="10"/>
      <c r="CT107" s="10"/>
      <c r="CU107" s="10"/>
      <c r="CV107" s="10"/>
      <c r="CW107" s="10"/>
      <c r="CX107" s="10"/>
      <c r="CY107" s="238"/>
      <c r="CZ107" s="14"/>
      <c r="DA107" s="10"/>
      <c r="DB107" s="10"/>
      <c r="DC107" s="10"/>
      <c r="DD107" s="10"/>
      <c r="DE107" s="10"/>
      <c r="DF107" s="10"/>
      <c r="DG107" s="10"/>
      <c r="DH107" s="14"/>
      <c r="DI107" s="10"/>
      <c r="DJ107" s="10"/>
      <c r="DK107" s="10"/>
      <c r="DL107" s="10"/>
      <c r="DM107" s="10"/>
      <c r="DN107" s="10"/>
      <c r="DO107" s="238"/>
      <c r="DP107" s="14"/>
      <c r="DQ107" s="10"/>
      <c r="DR107" s="10"/>
      <c r="DS107" s="10"/>
      <c r="DT107" s="10"/>
      <c r="DU107" s="10"/>
      <c r="DV107" s="10"/>
      <c r="DW107" s="10"/>
      <c r="DX107" s="14"/>
      <c r="DY107" s="10"/>
      <c r="DZ107" s="10"/>
      <c r="EA107" s="10"/>
      <c r="EB107" s="10"/>
      <c r="EC107" s="10"/>
      <c r="ED107" s="10"/>
      <c r="EE107" s="238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238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238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238"/>
      <c r="FP107" s="14"/>
      <c r="FQ107" s="14"/>
      <c r="FR107" s="14"/>
      <c r="FS107" s="14"/>
      <c r="FT107" s="14"/>
      <c r="FU107" s="238"/>
      <c r="FV107" s="14"/>
      <c r="FW107" s="14"/>
      <c r="FX107" s="14"/>
      <c r="FY107" s="14"/>
      <c r="FZ107" s="14"/>
      <c r="GA107" s="120"/>
      <c r="GB107" s="122" t="str">
        <f t="shared" si="54"/>
        <v/>
      </c>
      <c r="GC107" s="140" t="str">
        <f t="shared" si="55"/>
        <v/>
      </c>
      <c r="GD107" s="122">
        <f t="shared" si="56"/>
        <v>0</v>
      </c>
      <c r="GE107" s="122">
        <f t="shared" si="57"/>
        <v>0</v>
      </c>
      <c r="GF107" s="122">
        <f t="shared" si="58"/>
        <v>0</v>
      </c>
      <c r="GG107" s="122">
        <f t="shared" si="59"/>
        <v>0</v>
      </c>
      <c r="GH107" s="122">
        <f t="shared" si="60"/>
        <v>0</v>
      </c>
      <c r="GI107" s="122">
        <f t="shared" si="61"/>
        <v>0</v>
      </c>
      <c r="GJ107" s="122">
        <f t="shared" si="62"/>
        <v>0</v>
      </c>
      <c r="GK107" s="122">
        <f t="shared" si="63"/>
        <v>0</v>
      </c>
      <c r="GL107" s="122">
        <f t="shared" si="64"/>
        <v>0</v>
      </c>
      <c r="GM107" s="122">
        <f t="shared" si="65"/>
        <v>0</v>
      </c>
      <c r="GN107" s="122">
        <f t="shared" si="66"/>
        <v>0</v>
      </c>
      <c r="GO107" s="122">
        <f t="shared" si="67"/>
        <v>0</v>
      </c>
      <c r="GP107" s="122">
        <f t="shared" si="68"/>
        <v>0</v>
      </c>
      <c r="GQ107" s="122">
        <f t="shared" si="69"/>
        <v>0</v>
      </c>
      <c r="GR107" s="122">
        <f t="shared" si="70"/>
        <v>0</v>
      </c>
      <c r="GS107" s="123">
        <f t="shared" si="71"/>
        <v>0</v>
      </c>
      <c r="GT107"/>
      <c r="GU107"/>
      <c r="GV107"/>
      <c r="GW107" s="124"/>
      <c r="GX107" s="118"/>
      <c r="GY107" s="118"/>
      <c r="GZ107" s="118"/>
      <c r="HA107" s="118"/>
      <c r="HB107" s="118"/>
      <c r="HC107" s="118"/>
      <c r="HD107" s="118"/>
      <c r="HE107" s="118"/>
      <c r="HF107" s="118"/>
      <c r="HG107" s="118"/>
      <c r="HH107" s="118"/>
      <c r="HI107" s="118"/>
      <c r="HJ107" s="118"/>
      <c r="HK107" s="118"/>
      <c r="HL107" s="118"/>
    </row>
    <row r="108" spans="1:220" s="74" customFormat="1" ht="30" hidden="1" customHeight="1" x14ac:dyDescent="0.35">
      <c r="A108" s="119">
        <v>99</v>
      </c>
      <c r="B108" s="3"/>
      <c r="C108" s="6"/>
      <c r="D108" s="3"/>
      <c r="E108" s="246"/>
      <c r="F108" s="8"/>
      <c r="G108" s="8"/>
      <c r="H108" s="8"/>
      <c r="I108" s="8"/>
      <c r="J108" s="8"/>
      <c r="K108" s="8"/>
      <c r="L108" s="8"/>
      <c r="M108" s="8"/>
      <c r="N108" s="8"/>
      <c r="O108" s="9"/>
      <c r="P108" s="238"/>
      <c r="Q108" s="12"/>
      <c r="R108" s="8"/>
      <c r="S108" s="8"/>
      <c r="T108" s="8"/>
      <c r="U108" s="8"/>
      <c r="V108" s="8"/>
      <c r="W108" s="8"/>
      <c r="X108" s="8"/>
      <c r="Y108" s="8"/>
      <c r="Z108" s="13"/>
      <c r="AA108" s="238"/>
      <c r="AB108" s="12"/>
      <c r="AC108" s="8"/>
      <c r="AD108" s="8"/>
      <c r="AE108" s="8"/>
      <c r="AF108" s="8"/>
      <c r="AG108" s="8"/>
      <c r="AH108" s="8"/>
      <c r="AI108" s="8"/>
      <c r="AJ108" s="8"/>
      <c r="AK108" s="13"/>
      <c r="AL108" s="238"/>
      <c r="AM108" s="12"/>
      <c r="AN108" s="8"/>
      <c r="AO108" s="8"/>
      <c r="AP108" s="8"/>
      <c r="AQ108" s="8"/>
      <c r="AR108" s="8"/>
      <c r="AS108" s="8"/>
      <c r="AT108" s="8"/>
      <c r="AU108" s="8"/>
      <c r="AV108" s="13"/>
      <c r="AW108" s="238"/>
      <c r="AX108" s="12"/>
      <c r="AY108" s="8"/>
      <c r="AZ108" s="8"/>
      <c r="BA108" s="8"/>
      <c r="BB108" s="8"/>
      <c r="BC108" s="8"/>
      <c r="BD108" s="8"/>
      <c r="BE108" s="8"/>
      <c r="BF108" s="8"/>
      <c r="BG108" s="13"/>
      <c r="BH108" s="238"/>
      <c r="BI108" s="12"/>
      <c r="BJ108" s="8"/>
      <c r="BK108" s="8"/>
      <c r="BL108" s="8"/>
      <c r="BM108" s="8"/>
      <c r="BN108" s="8"/>
      <c r="BO108" s="8"/>
      <c r="BP108" s="8"/>
      <c r="BQ108" s="8"/>
      <c r="BR108" s="13"/>
      <c r="BS108" s="238"/>
      <c r="BT108" s="12"/>
      <c r="BU108" s="8"/>
      <c r="BV108" s="8"/>
      <c r="BW108" s="8"/>
      <c r="BX108" s="8"/>
      <c r="BY108" s="8"/>
      <c r="BZ108" s="8"/>
      <c r="CA108" s="8"/>
      <c r="CB108" s="12"/>
      <c r="CC108" s="8"/>
      <c r="CD108" s="8"/>
      <c r="CE108" s="8"/>
      <c r="CF108" s="8"/>
      <c r="CG108" s="8"/>
      <c r="CH108" s="8"/>
      <c r="CI108" s="238"/>
      <c r="CJ108" s="12"/>
      <c r="CK108" s="8"/>
      <c r="CL108" s="8"/>
      <c r="CM108" s="8"/>
      <c r="CN108" s="8"/>
      <c r="CO108" s="8"/>
      <c r="CP108" s="8"/>
      <c r="CQ108" s="8"/>
      <c r="CR108" s="12"/>
      <c r="CS108" s="8"/>
      <c r="CT108" s="8"/>
      <c r="CU108" s="8"/>
      <c r="CV108" s="8"/>
      <c r="CW108" s="8"/>
      <c r="CX108" s="8"/>
      <c r="CY108" s="238"/>
      <c r="CZ108" s="12"/>
      <c r="DA108" s="8"/>
      <c r="DB108" s="8"/>
      <c r="DC108" s="8"/>
      <c r="DD108" s="8"/>
      <c r="DE108" s="8"/>
      <c r="DF108" s="8"/>
      <c r="DG108" s="8"/>
      <c r="DH108" s="12"/>
      <c r="DI108" s="8"/>
      <c r="DJ108" s="8"/>
      <c r="DK108" s="8"/>
      <c r="DL108" s="8"/>
      <c r="DM108" s="8"/>
      <c r="DN108" s="8"/>
      <c r="DO108" s="238"/>
      <c r="DP108" s="12"/>
      <c r="DQ108" s="8"/>
      <c r="DR108" s="8"/>
      <c r="DS108" s="8"/>
      <c r="DT108" s="8"/>
      <c r="DU108" s="8"/>
      <c r="DV108" s="8"/>
      <c r="DW108" s="8"/>
      <c r="DX108" s="12"/>
      <c r="DY108" s="8"/>
      <c r="DZ108" s="8"/>
      <c r="EA108" s="8"/>
      <c r="EB108" s="8"/>
      <c r="EC108" s="8"/>
      <c r="ED108" s="8"/>
      <c r="EE108" s="238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238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238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238"/>
      <c r="FP108" s="12"/>
      <c r="FQ108" s="12"/>
      <c r="FR108" s="12"/>
      <c r="FS108" s="12"/>
      <c r="FT108" s="12"/>
      <c r="FU108" s="238"/>
      <c r="FV108" s="12"/>
      <c r="FW108" s="12"/>
      <c r="FX108" s="12"/>
      <c r="FY108" s="12"/>
      <c r="FZ108" s="12"/>
      <c r="GA108" s="120"/>
      <c r="GB108" s="118" t="str">
        <f t="shared" si="54"/>
        <v/>
      </c>
      <c r="GC108" s="139" t="str">
        <f t="shared" si="55"/>
        <v/>
      </c>
      <c r="GD108" s="118">
        <f t="shared" si="56"/>
        <v>0</v>
      </c>
      <c r="GE108" s="118">
        <f t="shared" si="57"/>
        <v>0</v>
      </c>
      <c r="GF108" s="118">
        <f t="shared" si="58"/>
        <v>0</v>
      </c>
      <c r="GG108" s="118">
        <f t="shared" si="59"/>
        <v>0</v>
      </c>
      <c r="GH108" s="118">
        <f t="shared" si="60"/>
        <v>0</v>
      </c>
      <c r="GI108" s="118">
        <f t="shared" si="61"/>
        <v>0</v>
      </c>
      <c r="GJ108" s="118">
        <f t="shared" si="62"/>
        <v>0</v>
      </c>
      <c r="GK108" s="118">
        <f t="shared" si="63"/>
        <v>0</v>
      </c>
      <c r="GL108" s="118">
        <f t="shared" si="64"/>
        <v>0</v>
      </c>
      <c r="GM108" s="118">
        <f t="shared" si="65"/>
        <v>0</v>
      </c>
      <c r="GN108" s="118">
        <f t="shared" si="66"/>
        <v>0</v>
      </c>
      <c r="GO108" s="118">
        <f t="shared" si="67"/>
        <v>0</v>
      </c>
      <c r="GP108" s="118">
        <f t="shared" si="68"/>
        <v>0</v>
      </c>
      <c r="GQ108" s="118">
        <f t="shared" si="69"/>
        <v>0</v>
      </c>
      <c r="GR108" s="118">
        <f t="shared" si="70"/>
        <v>0</v>
      </c>
      <c r="GS108" s="121">
        <f t="shared" si="71"/>
        <v>0</v>
      </c>
      <c r="GT108"/>
      <c r="GU108"/>
      <c r="GV108"/>
      <c r="GW108" s="124"/>
      <c r="GX108" s="118"/>
      <c r="GY108" s="118"/>
      <c r="GZ108" s="118"/>
      <c r="HA108" s="118"/>
      <c r="HB108" s="118"/>
      <c r="HC108" s="118"/>
      <c r="HD108" s="118"/>
      <c r="HE108" s="118"/>
      <c r="HF108" s="118"/>
      <c r="HG108" s="118"/>
      <c r="HH108" s="118"/>
      <c r="HI108" s="118"/>
      <c r="HJ108" s="118"/>
      <c r="HK108" s="118"/>
      <c r="HL108" s="118"/>
    </row>
    <row r="109" spans="1:220" s="74" customFormat="1" ht="30" hidden="1" customHeight="1" x14ac:dyDescent="0.35">
      <c r="A109" s="119">
        <v>100</v>
      </c>
      <c r="B109" s="4"/>
      <c r="C109" s="7"/>
      <c r="D109" s="4"/>
      <c r="E109" s="246"/>
      <c r="F109" s="10"/>
      <c r="G109" s="10"/>
      <c r="H109" s="10"/>
      <c r="I109" s="10"/>
      <c r="J109" s="10"/>
      <c r="K109" s="10"/>
      <c r="L109" s="10"/>
      <c r="M109" s="10"/>
      <c r="N109" s="10"/>
      <c r="O109" s="11"/>
      <c r="P109" s="238"/>
      <c r="Q109" s="14"/>
      <c r="R109" s="10"/>
      <c r="S109" s="10"/>
      <c r="T109" s="10"/>
      <c r="U109" s="10"/>
      <c r="V109" s="10"/>
      <c r="W109" s="10"/>
      <c r="X109" s="10"/>
      <c r="Y109" s="10"/>
      <c r="Z109" s="15"/>
      <c r="AA109" s="238"/>
      <c r="AB109" s="14"/>
      <c r="AC109" s="10"/>
      <c r="AD109" s="10"/>
      <c r="AE109" s="10"/>
      <c r="AF109" s="10"/>
      <c r="AG109" s="10"/>
      <c r="AH109" s="10"/>
      <c r="AI109" s="10"/>
      <c r="AJ109" s="10"/>
      <c r="AK109" s="15"/>
      <c r="AL109" s="238"/>
      <c r="AM109" s="14"/>
      <c r="AN109" s="10"/>
      <c r="AO109" s="10"/>
      <c r="AP109" s="10"/>
      <c r="AQ109" s="10"/>
      <c r="AR109" s="10"/>
      <c r="AS109" s="10"/>
      <c r="AT109" s="10"/>
      <c r="AU109" s="10"/>
      <c r="AV109" s="15"/>
      <c r="AW109" s="238"/>
      <c r="AX109" s="14"/>
      <c r="AY109" s="10"/>
      <c r="AZ109" s="10"/>
      <c r="BA109" s="10"/>
      <c r="BB109" s="10"/>
      <c r="BC109" s="10"/>
      <c r="BD109" s="10"/>
      <c r="BE109" s="10"/>
      <c r="BF109" s="10"/>
      <c r="BG109" s="15"/>
      <c r="BH109" s="238"/>
      <c r="BI109" s="14"/>
      <c r="BJ109" s="10"/>
      <c r="BK109" s="10"/>
      <c r="BL109" s="10"/>
      <c r="BM109" s="10"/>
      <c r="BN109" s="10"/>
      <c r="BO109" s="10"/>
      <c r="BP109" s="10"/>
      <c r="BQ109" s="10"/>
      <c r="BR109" s="15"/>
      <c r="BS109" s="238"/>
      <c r="BT109" s="14"/>
      <c r="BU109" s="10"/>
      <c r="BV109" s="10"/>
      <c r="BW109" s="10"/>
      <c r="BX109" s="10"/>
      <c r="BY109" s="10"/>
      <c r="BZ109" s="10"/>
      <c r="CA109" s="10"/>
      <c r="CB109" s="14"/>
      <c r="CC109" s="10"/>
      <c r="CD109" s="10"/>
      <c r="CE109" s="10"/>
      <c r="CF109" s="10"/>
      <c r="CG109" s="10"/>
      <c r="CH109" s="10"/>
      <c r="CI109" s="238"/>
      <c r="CJ109" s="14"/>
      <c r="CK109" s="10"/>
      <c r="CL109" s="10"/>
      <c r="CM109" s="10"/>
      <c r="CN109" s="10"/>
      <c r="CO109" s="10"/>
      <c r="CP109" s="10"/>
      <c r="CQ109" s="10"/>
      <c r="CR109" s="14"/>
      <c r="CS109" s="10"/>
      <c r="CT109" s="10"/>
      <c r="CU109" s="10"/>
      <c r="CV109" s="10"/>
      <c r="CW109" s="10"/>
      <c r="CX109" s="10"/>
      <c r="CY109" s="238"/>
      <c r="CZ109" s="14"/>
      <c r="DA109" s="10"/>
      <c r="DB109" s="10"/>
      <c r="DC109" s="10"/>
      <c r="DD109" s="10"/>
      <c r="DE109" s="10"/>
      <c r="DF109" s="10"/>
      <c r="DG109" s="10"/>
      <c r="DH109" s="14"/>
      <c r="DI109" s="10"/>
      <c r="DJ109" s="10"/>
      <c r="DK109" s="10"/>
      <c r="DL109" s="10"/>
      <c r="DM109" s="10"/>
      <c r="DN109" s="10"/>
      <c r="DO109" s="238"/>
      <c r="DP109" s="14"/>
      <c r="DQ109" s="10"/>
      <c r="DR109" s="10"/>
      <c r="DS109" s="10"/>
      <c r="DT109" s="10"/>
      <c r="DU109" s="10"/>
      <c r="DV109" s="10"/>
      <c r="DW109" s="10"/>
      <c r="DX109" s="14"/>
      <c r="DY109" s="10"/>
      <c r="DZ109" s="10"/>
      <c r="EA109" s="10"/>
      <c r="EB109" s="10"/>
      <c r="EC109" s="10"/>
      <c r="ED109" s="10"/>
      <c r="EE109" s="238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238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/>
      <c r="FC109" s="238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238"/>
      <c r="FP109" s="14"/>
      <c r="FQ109" s="14"/>
      <c r="FR109" s="14"/>
      <c r="FS109" s="14"/>
      <c r="FT109" s="14"/>
      <c r="FU109" s="238"/>
      <c r="FV109" s="14"/>
      <c r="FW109" s="14"/>
      <c r="FX109" s="14"/>
      <c r="FY109" s="14"/>
      <c r="FZ109" s="14"/>
      <c r="GA109" s="120"/>
      <c r="GB109" s="122" t="str">
        <f t="shared" si="54"/>
        <v/>
      </c>
      <c r="GC109" s="140" t="str">
        <f t="shared" si="55"/>
        <v/>
      </c>
      <c r="GD109" s="122">
        <f t="shared" si="56"/>
        <v>0</v>
      </c>
      <c r="GE109" s="122">
        <f t="shared" si="57"/>
        <v>0</v>
      </c>
      <c r="GF109" s="122">
        <f t="shared" si="58"/>
        <v>0</v>
      </c>
      <c r="GG109" s="122">
        <f t="shared" si="59"/>
        <v>0</v>
      </c>
      <c r="GH109" s="122">
        <f t="shared" si="60"/>
        <v>0</v>
      </c>
      <c r="GI109" s="122">
        <f t="shared" si="61"/>
        <v>0</v>
      </c>
      <c r="GJ109" s="122">
        <f t="shared" si="62"/>
        <v>0</v>
      </c>
      <c r="GK109" s="122">
        <f t="shared" si="63"/>
        <v>0</v>
      </c>
      <c r="GL109" s="122">
        <f t="shared" si="64"/>
        <v>0</v>
      </c>
      <c r="GM109" s="122">
        <f t="shared" si="65"/>
        <v>0</v>
      </c>
      <c r="GN109" s="122">
        <f t="shared" si="66"/>
        <v>0</v>
      </c>
      <c r="GO109" s="122">
        <f t="shared" si="67"/>
        <v>0</v>
      </c>
      <c r="GP109" s="122">
        <f t="shared" si="68"/>
        <v>0</v>
      </c>
      <c r="GQ109" s="122">
        <f t="shared" si="69"/>
        <v>0</v>
      </c>
      <c r="GR109" s="122">
        <f t="shared" si="70"/>
        <v>0</v>
      </c>
      <c r="GS109" s="123">
        <f t="shared" si="71"/>
        <v>0</v>
      </c>
      <c r="GT109"/>
      <c r="GU109"/>
      <c r="GV109"/>
      <c r="GW109" s="124"/>
      <c r="GX109" s="118"/>
      <c r="GY109" s="118"/>
      <c r="GZ109" s="118"/>
      <c r="HA109" s="118"/>
      <c r="HB109" s="118"/>
      <c r="HC109" s="118"/>
      <c r="HD109" s="118"/>
      <c r="HE109" s="118"/>
      <c r="HF109" s="118"/>
      <c r="HG109" s="118"/>
      <c r="HH109" s="118"/>
      <c r="HI109" s="118"/>
      <c r="HJ109" s="118"/>
      <c r="HK109" s="118"/>
      <c r="HL109" s="118"/>
    </row>
    <row r="110" spans="1:220" s="74" customFormat="1" ht="30" hidden="1" customHeight="1" x14ac:dyDescent="0.35">
      <c r="A110" s="119">
        <v>101</v>
      </c>
      <c r="B110" s="3"/>
      <c r="C110" s="6"/>
      <c r="D110" s="3"/>
      <c r="E110" s="246"/>
      <c r="F110" s="8"/>
      <c r="G110" s="8"/>
      <c r="H110" s="8"/>
      <c r="I110" s="8"/>
      <c r="J110" s="8"/>
      <c r="K110" s="8"/>
      <c r="L110" s="8"/>
      <c r="M110" s="8"/>
      <c r="N110" s="8"/>
      <c r="O110" s="9"/>
      <c r="P110" s="238"/>
      <c r="Q110" s="12"/>
      <c r="R110" s="8"/>
      <c r="S110" s="8"/>
      <c r="T110" s="8"/>
      <c r="U110" s="8"/>
      <c r="V110" s="8"/>
      <c r="W110" s="8"/>
      <c r="X110" s="8"/>
      <c r="Y110" s="8"/>
      <c r="Z110" s="13"/>
      <c r="AA110" s="238"/>
      <c r="AB110" s="12"/>
      <c r="AC110" s="8"/>
      <c r="AD110" s="8"/>
      <c r="AE110" s="8"/>
      <c r="AF110" s="8"/>
      <c r="AG110" s="8"/>
      <c r="AH110" s="8"/>
      <c r="AI110" s="8"/>
      <c r="AJ110" s="8"/>
      <c r="AK110" s="13"/>
      <c r="AL110" s="238"/>
      <c r="AM110" s="12"/>
      <c r="AN110" s="8"/>
      <c r="AO110" s="8"/>
      <c r="AP110" s="8"/>
      <c r="AQ110" s="8"/>
      <c r="AR110" s="8"/>
      <c r="AS110" s="8"/>
      <c r="AT110" s="8"/>
      <c r="AU110" s="8"/>
      <c r="AV110" s="13"/>
      <c r="AW110" s="238"/>
      <c r="AX110" s="12"/>
      <c r="AY110" s="8"/>
      <c r="AZ110" s="8"/>
      <c r="BA110" s="8"/>
      <c r="BB110" s="8"/>
      <c r="BC110" s="8"/>
      <c r="BD110" s="8"/>
      <c r="BE110" s="8"/>
      <c r="BF110" s="8"/>
      <c r="BG110" s="13"/>
      <c r="BH110" s="238"/>
      <c r="BI110" s="12"/>
      <c r="BJ110" s="8"/>
      <c r="BK110" s="8"/>
      <c r="BL110" s="8"/>
      <c r="BM110" s="8"/>
      <c r="BN110" s="8"/>
      <c r="BO110" s="8"/>
      <c r="BP110" s="8"/>
      <c r="BQ110" s="8"/>
      <c r="BR110" s="13"/>
      <c r="BS110" s="238"/>
      <c r="BT110" s="12"/>
      <c r="BU110" s="8"/>
      <c r="BV110" s="8"/>
      <c r="BW110" s="8"/>
      <c r="BX110" s="8"/>
      <c r="BY110" s="8"/>
      <c r="BZ110" s="8"/>
      <c r="CA110" s="8"/>
      <c r="CB110" s="12"/>
      <c r="CC110" s="8"/>
      <c r="CD110" s="8"/>
      <c r="CE110" s="8"/>
      <c r="CF110" s="8"/>
      <c r="CG110" s="8"/>
      <c r="CH110" s="8"/>
      <c r="CI110" s="238"/>
      <c r="CJ110" s="12"/>
      <c r="CK110" s="8"/>
      <c r="CL110" s="8"/>
      <c r="CM110" s="8"/>
      <c r="CN110" s="8"/>
      <c r="CO110" s="8"/>
      <c r="CP110" s="8"/>
      <c r="CQ110" s="8"/>
      <c r="CR110" s="12"/>
      <c r="CS110" s="8"/>
      <c r="CT110" s="8"/>
      <c r="CU110" s="8"/>
      <c r="CV110" s="8"/>
      <c r="CW110" s="8"/>
      <c r="CX110" s="8"/>
      <c r="CY110" s="238"/>
      <c r="CZ110" s="12"/>
      <c r="DA110" s="8"/>
      <c r="DB110" s="8"/>
      <c r="DC110" s="8"/>
      <c r="DD110" s="8"/>
      <c r="DE110" s="8"/>
      <c r="DF110" s="8"/>
      <c r="DG110" s="8"/>
      <c r="DH110" s="12"/>
      <c r="DI110" s="8"/>
      <c r="DJ110" s="8"/>
      <c r="DK110" s="8"/>
      <c r="DL110" s="8"/>
      <c r="DM110" s="8"/>
      <c r="DN110" s="8"/>
      <c r="DO110" s="238"/>
      <c r="DP110" s="12"/>
      <c r="DQ110" s="8"/>
      <c r="DR110" s="8"/>
      <c r="DS110" s="8"/>
      <c r="DT110" s="8"/>
      <c r="DU110" s="8"/>
      <c r="DV110" s="8"/>
      <c r="DW110" s="8"/>
      <c r="DX110" s="12"/>
      <c r="DY110" s="8"/>
      <c r="DZ110" s="8"/>
      <c r="EA110" s="8"/>
      <c r="EB110" s="8"/>
      <c r="EC110" s="8"/>
      <c r="ED110" s="8"/>
      <c r="EE110" s="238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238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238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238"/>
      <c r="FP110" s="12"/>
      <c r="FQ110" s="12"/>
      <c r="FR110" s="12"/>
      <c r="FS110" s="12"/>
      <c r="FT110" s="12"/>
      <c r="FU110" s="238"/>
      <c r="FV110" s="12"/>
      <c r="FW110" s="12"/>
      <c r="FX110" s="12"/>
      <c r="FY110" s="12"/>
      <c r="FZ110" s="12"/>
      <c r="GA110" s="120"/>
      <c r="GB110" s="118" t="str">
        <f t="shared" si="54"/>
        <v/>
      </c>
      <c r="GC110" s="139" t="str">
        <f t="shared" si="55"/>
        <v/>
      </c>
      <c r="GD110" s="118">
        <f t="shared" si="56"/>
        <v>0</v>
      </c>
      <c r="GE110" s="118">
        <f t="shared" si="57"/>
        <v>0</v>
      </c>
      <c r="GF110" s="118">
        <f t="shared" si="58"/>
        <v>0</v>
      </c>
      <c r="GG110" s="118">
        <f t="shared" si="59"/>
        <v>0</v>
      </c>
      <c r="GH110" s="118">
        <f t="shared" si="60"/>
        <v>0</v>
      </c>
      <c r="GI110" s="118">
        <f t="shared" si="61"/>
        <v>0</v>
      </c>
      <c r="GJ110" s="118">
        <f t="shared" si="62"/>
        <v>0</v>
      </c>
      <c r="GK110" s="118">
        <f t="shared" si="63"/>
        <v>0</v>
      </c>
      <c r="GL110" s="118">
        <f t="shared" si="64"/>
        <v>0</v>
      </c>
      <c r="GM110" s="118">
        <f t="shared" si="65"/>
        <v>0</v>
      </c>
      <c r="GN110" s="118">
        <f t="shared" si="66"/>
        <v>0</v>
      </c>
      <c r="GO110" s="118">
        <f t="shared" si="67"/>
        <v>0</v>
      </c>
      <c r="GP110" s="118">
        <f t="shared" si="68"/>
        <v>0</v>
      </c>
      <c r="GQ110" s="118">
        <f t="shared" si="69"/>
        <v>0</v>
      </c>
      <c r="GR110" s="118">
        <f t="shared" si="70"/>
        <v>0</v>
      </c>
      <c r="GS110" s="121">
        <f t="shared" si="71"/>
        <v>0</v>
      </c>
      <c r="GT110"/>
      <c r="GU110"/>
      <c r="GV110"/>
      <c r="GW110" s="124"/>
      <c r="GX110" s="118"/>
      <c r="GY110" s="118"/>
      <c r="GZ110" s="118"/>
      <c r="HA110" s="118"/>
      <c r="HB110" s="118"/>
      <c r="HC110" s="118"/>
      <c r="HD110" s="118"/>
      <c r="HE110" s="118"/>
      <c r="HF110" s="118"/>
      <c r="HG110" s="118"/>
      <c r="HH110" s="118"/>
      <c r="HI110" s="118"/>
      <c r="HJ110" s="118"/>
      <c r="HK110" s="118"/>
      <c r="HL110" s="118"/>
    </row>
    <row r="111" spans="1:220" s="74" customFormat="1" ht="30" hidden="1" customHeight="1" x14ac:dyDescent="0.35">
      <c r="A111" s="119">
        <v>102</v>
      </c>
      <c r="B111" s="4"/>
      <c r="C111" s="7"/>
      <c r="D111" s="4"/>
      <c r="E111" s="246"/>
      <c r="F111" s="10"/>
      <c r="G111" s="10"/>
      <c r="H111" s="10"/>
      <c r="I111" s="10"/>
      <c r="J111" s="10"/>
      <c r="K111" s="10"/>
      <c r="L111" s="10"/>
      <c r="M111" s="10"/>
      <c r="N111" s="10"/>
      <c r="O111" s="11"/>
      <c r="P111" s="238"/>
      <c r="Q111" s="14"/>
      <c r="R111" s="10"/>
      <c r="S111" s="10"/>
      <c r="T111" s="10"/>
      <c r="U111" s="10"/>
      <c r="V111" s="10"/>
      <c r="W111" s="10"/>
      <c r="X111" s="10"/>
      <c r="Y111" s="10"/>
      <c r="Z111" s="15"/>
      <c r="AA111" s="238"/>
      <c r="AB111" s="14"/>
      <c r="AC111" s="10"/>
      <c r="AD111" s="10"/>
      <c r="AE111" s="10"/>
      <c r="AF111" s="10"/>
      <c r="AG111" s="10"/>
      <c r="AH111" s="10"/>
      <c r="AI111" s="10"/>
      <c r="AJ111" s="10"/>
      <c r="AK111" s="15"/>
      <c r="AL111" s="238"/>
      <c r="AM111" s="14"/>
      <c r="AN111" s="10"/>
      <c r="AO111" s="10"/>
      <c r="AP111" s="10"/>
      <c r="AQ111" s="10"/>
      <c r="AR111" s="10"/>
      <c r="AS111" s="10"/>
      <c r="AT111" s="10"/>
      <c r="AU111" s="10"/>
      <c r="AV111" s="15"/>
      <c r="AW111" s="238"/>
      <c r="AX111" s="14"/>
      <c r="AY111" s="10"/>
      <c r="AZ111" s="10"/>
      <c r="BA111" s="10"/>
      <c r="BB111" s="10"/>
      <c r="BC111" s="10"/>
      <c r="BD111" s="10"/>
      <c r="BE111" s="10"/>
      <c r="BF111" s="10"/>
      <c r="BG111" s="15"/>
      <c r="BH111" s="238"/>
      <c r="BI111" s="14"/>
      <c r="BJ111" s="10"/>
      <c r="BK111" s="10"/>
      <c r="BL111" s="10"/>
      <c r="BM111" s="10"/>
      <c r="BN111" s="10"/>
      <c r="BO111" s="10"/>
      <c r="BP111" s="10"/>
      <c r="BQ111" s="10"/>
      <c r="BR111" s="15"/>
      <c r="BS111" s="238"/>
      <c r="BT111" s="14"/>
      <c r="BU111" s="10"/>
      <c r="BV111" s="10"/>
      <c r="BW111" s="10"/>
      <c r="BX111" s="10"/>
      <c r="BY111" s="10"/>
      <c r="BZ111" s="10"/>
      <c r="CA111" s="10"/>
      <c r="CB111" s="14"/>
      <c r="CC111" s="10"/>
      <c r="CD111" s="10"/>
      <c r="CE111" s="10"/>
      <c r="CF111" s="10"/>
      <c r="CG111" s="10"/>
      <c r="CH111" s="10"/>
      <c r="CI111" s="238"/>
      <c r="CJ111" s="14"/>
      <c r="CK111" s="10"/>
      <c r="CL111" s="10"/>
      <c r="CM111" s="10"/>
      <c r="CN111" s="10"/>
      <c r="CO111" s="10"/>
      <c r="CP111" s="10"/>
      <c r="CQ111" s="10"/>
      <c r="CR111" s="14"/>
      <c r="CS111" s="10"/>
      <c r="CT111" s="10"/>
      <c r="CU111" s="10"/>
      <c r="CV111" s="10"/>
      <c r="CW111" s="10"/>
      <c r="CX111" s="10"/>
      <c r="CY111" s="238"/>
      <c r="CZ111" s="14"/>
      <c r="DA111" s="10"/>
      <c r="DB111" s="10"/>
      <c r="DC111" s="10"/>
      <c r="DD111" s="10"/>
      <c r="DE111" s="10"/>
      <c r="DF111" s="10"/>
      <c r="DG111" s="10"/>
      <c r="DH111" s="14"/>
      <c r="DI111" s="10"/>
      <c r="DJ111" s="10"/>
      <c r="DK111" s="10"/>
      <c r="DL111" s="10"/>
      <c r="DM111" s="10"/>
      <c r="DN111" s="10"/>
      <c r="DO111" s="238"/>
      <c r="DP111" s="14"/>
      <c r="DQ111" s="10"/>
      <c r="DR111" s="10"/>
      <c r="DS111" s="10"/>
      <c r="DT111" s="10"/>
      <c r="DU111" s="10"/>
      <c r="DV111" s="10"/>
      <c r="DW111" s="10"/>
      <c r="DX111" s="14"/>
      <c r="DY111" s="10"/>
      <c r="DZ111" s="10"/>
      <c r="EA111" s="10"/>
      <c r="EB111" s="10"/>
      <c r="EC111" s="10"/>
      <c r="ED111" s="10"/>
      <c r="EE111" s="238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238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/>
      <c r="FC111" s="238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238"/>
      <c r="FP111" s="14"/>
      <c r="FQ111" s="14"/>
      <c r="FR111" s="14"/>
      <c r="FS111" s="14"/>
      <c r="FT111" s="14"/>
      <c r="FU111" s="238"/>
      <c r="FV111" s="14"/>
      <c r="FW111" s="14"/>
      <c r="FX111" s="14"/>
      <c r="FY111" s="14"/>
      <c r="FZ111" s="14"/>
      <c r="GA111" s="120"/>
      <c r="GB111" s="122" t="str">
        <f t="shared" si="54"/>
        <v/>
      </c>
      <c r="GC111" s="140" t="str">
        <f t="shared" si="55"/>
        <v/>
      </c>
      <c r="GD111" s="122">
        <f t="shared" si="56"/>
        <v>0</v>
      </c>
      <c r="GE111" s="122">
        <f t="shared" si="57"/>
        <v>0</v>
      </c>
      <c r="GF111" s="122">
        <f t="shared" si="58"/>
        <v>0</v>
      </c>
      <c r="GG111" s="122">
        <f t="shared" si="59"/>
        <v>0</v>
      </c>
      <c r="GH111" s="122">
        <f t="shared" si="60"/>
        <v>0</v>
      </c>
      <c r="GI111" s="122">
        <f t="shared" si="61"/>
        <v>0</v>
      </c>
      <c r="GJ111" s="122">
        <f t="shared" si="62"/>
        <v>0</v>
      </c>
      <c r="GK111" s="122">
        <f t="shared" si="63"/>
        <v>0</v>
      </c>
      <c r="GL111" s="122">
        <f t="shared" si="64"/>
        <v>0</v>
      </c>
      <c r="GM111" s="122">
        <f t="shared" si="65"/>
        <v>0</v>
      </c>
      <c r="GN111" s="122">
        <f t="shared" si="66"/>
        <v>0</v>
      </c>
      <c r="GO111" s="122">
        <f t="shared" si="67"/>
        <v>0</v>
      </c>
      <c r="GP111" s="122">
        <f t="shared" si="68"/>
        <v>0</v>
      </c>
      <c r="GQ111" s="122">
        <f t="shared" si="69"/>
        <v>0</v>
      </c>
      <c r="GR111" s="122">
        <f t="shared" si="70"/>
        <v>0</v>
      </c>
      <c r="GS111" s="123">
        <f t="shared" si="71"/>
        <v>0</v>
      </c>
      <c r="GT111"/>
      <c r="GU111"/>
      <c r="GV111"/>
      <c r="GW111" s="124"/>
      <c r="GX111" s="118"/>
      <c r="GY111" s="118"/>
      <c r="GZ111" s="118"/>
      <c r="HA111" s="118"/>
      <c r="HB111" s="118"/>
      <c r="HC111" s="118"/>
      <c r="HD111" s="118"/>
      <c r="HE111" s="118"/>
      <c r="HF111" s="118"/>
      <c r="HG111" s="118"/>
      <c r="HH111" s="118"/>
      <c r="HI111" s="118"/>
      <c r="HJ111" s="118"/>
      <c r="HK111" s="118"/>
      <c r="HL111" s="118"/>
    </row>
    <row r="112" spans="1:220" s="74" customFormat="1" ht="30" hidden="1" customHeight="1" x14ac:dyDescent="0.35">
      <c r="A112" s="119">
        <v>103</v>
      </c>
      <c r="B112" s="3"/>
      <c r="C112" s="6"/>
      <c r="D112" s="3"/>
      <c r="E112" s="246"/>
      <c r="F112" s="8"/>
      <c r="G112" s="8"/>
      <c r="H112" s="8"/>
      <c r="I112" s="8"/>
      <c r="J112" s="8"/>
      <c r="K112" s="8"/>
      <c r="L112" s="8"/>
      <c r="M112" s="8"/>
      <c r="N112" s="8"/>
      <c r="O112" s="9"/>
      <c r="P112" s="238"/>
      <c r="Q112" s="12"/>
      <c r="R112" s="8"/>
      <c r="S112" s="8"/>
      <c r="T112" s="8"/>
      <c r="U112" s="8"/>
      <c r="V112" s="8"/>
      <c r="W112" s="8"/>
      <c r="X112" s="8"/>
      <c r="Y112" s="8"/>
      <c r="Z112" s="13"/>
      <c r="AA112" s="238"/>
      <c r="AB112" s="12"/>
      <c r="AC112" s="8"/>
      <c r="AD112" s="8"/>
      <c r="AE112" s="8"/>
      <c r="AF112" s="8"/>
      <c r="AG112" s="8"/>
      <c r="AH112" s="8"/>
      <c r="AI112" s="8"/>
      <c r="AJ112" s="8"/>
      <c r="AK112" s="13"/>
      <c r="AL112" s="238"/>
      <c r="AM112" s="12"/>
      <c r="AN112" s="8"/>
      <c r="AO112" s="8"/>
      <c r="AP112" s="8"/>
      <c r="AQ112" s="8"/>
      <c r="AR112" s="8"/>
      <c r="AS112" s="8"/>
      <c r="AT112" s="8"/>
      <c r="AU112" s="8"/>
      <c r="AV112" s="13"/>
      <c r="AW112" s="238"/>
      <c r="AX112" s="12"/>
      <c r="AY112" s="8"/>
      <c r="AZ112" s="8"/>
      <c r="BA112" s="8"/>
      <c r="BB112" s="8"/>
      <c r="BC112" s="8"/>
      <c r="BD112" s="8"/>
      <c r="BE112" s="8"/>
      <c r="BF112" s="8"/>
      <c r="BG112" s="13"/>
      <c r="BH112" s="238"/>
      <c r="BI112" s="12"/>
      <c r="BJ112" s="8"/>
      <c r="BK112" s="8"/>
      <c r="BL112" s="8"/>
      <c r="BM112" s="8"/>
      <c r="BN112" s="8"/>
      <c r="BO112" s="8"/>
      <c r="BP112" s="8"/>
      <c r="BQ112" s="8"/>
      <c r="BR112" s="13"/>
      <c r="BS112" s="238"/>
      <c r="BT112" s="12"/>
      <c r="BU112" s="8"/>
      <c r="BV112" s="8"/>
      <c r="BW112" s="8"/>
      <c r="BX112" s="8"/>
      <c r="BY112" s="8"/>
      <c r="BZ112" s="8"/>
      <c r="CA112" s="8"/>
      <c r="CB112" s="12"/>
      <c r="CC112" s="8"/>
      <c r="CD112" s="8"/>
      <c r="CE112" s="8"/>
      <c r="CF112" s="8"/>
      <c r="CG112" s="8"/>
      <c r="CH112" s="8"/>
      <c r="CI112" s="238"/>
      <c r="CJ112" s="12"/>
      <c r="CK112" s="8"/>
      <c r="CL112" s="8"/>
      <c r="CM112" s="8"/>
      <c r="CN112" s="8"/>
      <c r="CO112" s="8"/>
      <c r="CP112" s="8"/>
      <c r="CQ112" s="8"/>
      <c r="CR112" s="12"/>
      <c r="CS112" s="8"/>
      <c r="CT112" s="8"/>
      <c r="CU112" s="8"/>
      <c r="CV112" s="8"/>
      <c r="CW112" s="8"/>
      <c r="CX112" s="8"/>
      <c r="CY112" s="238"/>
      <c r="CZ112" s="12"/>
      <c r="DA112" s="8"/>
      <c r="DB112" s="8"/>
      <c r="DC112" s="8"/>
      <c r="DD112" s="8"/>
      <c r="DE112" s="8"/>
      <c r="DF112" s="8"/>
      <c r="DG112" s="8"/>
      <c r="DH112" s="12"/>
      <c r="DI112" s="8"/>
      <c r="DJ112" s="8"/>
      <c r="DK112" s="8"/>
      <c r="DL112" s="8"/>
      <c r="DM112" s="8"/>
      <c r="DN112" s="8"/>
      <c r="DO112" s="238"/>
      <c r="DP112" s="12"/>
      <c r="DQ112" s="8"/>
      <c r="DR112" s="8"/>
      <c r="DS112" s="8"/>
      <c r="DT112" s="8"/>
      <c r="DU112" s="8"/>
      <c r="DV112" s="8"/>
      <c r="DW112" s="8"/>
      <c r="DX112" s="12"/>
      <c r="DY112" s="8"/>
      <c r="DZ112" s="8"/>
      <c r="EA112" s="8"/>
      <c r="EB112" s="8"/>
      <c r="EC112" s="8"/>
      <c r="ED112" s="8"/>
      <c r="EE112" s="238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238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238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238"/>
      <c r="FP112" s="12"/>
      <c r="FQ112" s="12"/>
      <c r="FR112" s="12"/>
      <c r="FS112" s="12"/>
      <c r="FT112" s="12"/>
      <c r="FU112" s="238"/>
      <c r="FV112" s="12"/>
      <c r="FW112" s="12"/>
      <c r="FX112" s="12"/>
      <c r="FY112" s="12"/>
      <c r="FZ112" s="12"/>
      <c r="GA112" s="120"/>
      <c r="GB112" s="118" t="str">
        <f t="shared" si="54"/>
        <v/>
      </c>
      <c r="GC112" s="139" t="str">
        <f t="shared" si="55"/>
        <v/>
      </c>
      <c r="GD112" s="118">
        <f t="shared" si="56"/>
        <v>0</v>
      </c>
      <c r="GE112" s="118">
        <f t="shared" si="57"/>
        <v>0</v>
      </c>
      <c r="GF112" s="118">
        <f t="shared" si="58"/>
        <v>0</v>
      </c>
      <c r="GG112" s="118">
        <f t="shared" si="59"/>
        <v>0</v>
      </c>
      <c r="GH112" s="118">
        <f t="shared" si="60"/>
        <v>0</v>
      </c>
      <c r="GI112" s="118">
        <f t="shared" si="61"/>
        <v>0</v>
      </c>
      <c r="GJ112" s="118">
        <f t="shared" si="62"/>
        <v>0</v>
      </c>
      <c r="GK112" s="118">
        <f t="shared" si="63"/>
        <v>0</v>
      </c>
      <c r="GL112" s="118">
        <f t="shared" si="64"/>
        <v>0</v>
      </c>
      <c r="GM112" s="118">
        <f t="shared" si="65"/>
        <v>0</v>
      </c>
      <c r="GN112" s="118">
        <f t="shared" si="66"/>
        <v>0</v>
      </c>
      <c r="GO112" s="118">
        <f t="shared" si="67"/>
        <v>0</v>
      </c>
      <c r="GP112" s="118">
        <f t="shared" si="68"/>
        <v>0</v>
      </c>
      <c r="GQ112" s="118">
        <f t="shared" si="69"/>
        <v>0</v>
      </c>
      <c r="GR112" s="118">
        <f t="shared" si="70"/>
        <v>0</v>
      </c>
      <c r="GS112" s="121">
        <f t="shared" si="71"/>
        <v>0</v>
      </c>
      <c r="GT112"/>
      <c r="GU112"/>
      <c r="GV112"/>
      <c r="GW112" s="124"/>
      <c r="GX112" s="118"/>
      <c r="GY112" s="118"/>
      <c r="GZ112" s="118"/>
      <c r="HA112" s="118"/>
      <c r="HB112" s="118"/>
      <c r="HC112" s="118"/>
      <c r="HD112" s="118"/>
      <c r="HE112" s="118"/>
      <c r="HF112" s="118"/>
      <c r="HG112" s="118"/>
      <c r="HH112" s="118"/>
      <c r="HI112" s="118"/>
      <c r="HJ112" s="118"/>
      <c r="HK112" s="118"/>
      <c r="HL112" s="118"/>
    </row>
    <row r="113" spans="1:220" s="74" customFormat="1" ht="30" hidden="1" customHeight="1" x14ac:dyDescent="0.35">
      <c r="A113" s="119">
        <v>104</v>
      </c>
      <c r="B113" s="4"/>
      <c r="C113" s="7"/>
      <c r="D113" s="4"/>
      <c r="E113" s="246"/>
      <c r="F113" s="10"/>
      <c r="G113" s="10"/>
      <c r="H113" s="10"/>
      <c r="I113" s="10"/>
      <c r="J113" s="10"/>
      <c r="K113" s="10"/>
      <c r="L113" s="10"/>
      <c r="M113" s="10"/>
      <c r="N113" s="10"/>
      <c r="O113" s="11"/>
      <c r="P113" s="238"/>
      <c r="Q113" s="14"/>
      <c r="R113" s="10"/>
      <c r="S113" s="10"/>
      <c r="T113" s="10"/>
      <c r="U113" s="10"/>
      <c r="V113" s="10"/>
      <c r="W113" s="10"/>
      <c r="X113" s="10"/>
      <c r="Y113" s="10"/>
      <c r="Z113" s="15"/>
      <c r="AA113" s="238"/>
      <c r="AB113" s="14"/>
      <c r="AC113" s="10"/>
      <c r="AD113" s="10"/>
      <c r="AE113" s="10"/>
      <c r="AF113" s="10"/>
      <c r="AG113" s="10"/>
      <c r="AH113" s="10"/>
      <c r="AI113" s="10"/>
      <c r="AJ113" s="10"/>
      <c r="AK113" s="15"/>
      <c r="AL113" s="238"/>
      <c r="AM113" s="14"/>
      <c r="AN113" s="10"/>
      <c r="AO113" s="10"/>
      <c r="AP113" s="10"/>
      <c r="AQ113" s="10"/>
      <c r="AR113" s="10"/>
      <c r="AS113" s="10"/>
      <c r="AT113" s="10"/>
      <c r="AU113" s="10"/>
      <c r="AV113" s="15"/>
      <c r="AW113" s="238"/>
      <c r="AX113" s="14"/>
      <c r="AY113" s="10"/>
      <c r="AZ113" s="10"/>
      <c r="BA113" s="10"/>
      <c r="BB113" s="10"/>
      <c r="BC113" s="10"/>
      <c r="BD113" s="10"/>
      <c r="BE113" s="10"/>
      <c r="BF113" s="10"/>
      <c r="BG113" s="15"/>
      <c r="BH113" s="238"/>
      <c r="BI113" s="14"/>
      <c r="BJ113" s="10"/>
      <c r="BK113" s="10"/>
      <c r="BL113" s="10"/>
      <c r="BM113" s="10"/>
      <c r="BN113" s="10"/>
      <c r="BO113" s="10"/>
      <c r="BP113" s="10"/>
      <c r="BQ113" s="10"/>
      <c r="BR113" s="15"/>
      <c r="BS113" s="238"/>
      <c r="BT113" s="14"/>
      <c r="BU113" s="10"/>
      <c r="BV113" s="10"/>
      <c r="BW113" s="10"/>
      <c r="BX113" s="10"/>
      <c r="BY113" s="10"/>
      <c r="BZ113" s="10"/>
      <c r="CA113" s="10"/>
      <c r="CB113" s="14"/>
      <c r="CC113" s="10"/>
      <c r="CD113" s="10"/>
      <c r="CE113" s="10"/>
      <c r="CF113" s="10"/>
      <c r="CG113" s="10"/>
      <c r="CH113" s="10"/>
      <c r="CI113" s="238"/>
      <c r="CJ113" s="14"/>
      <c r="CK113" s="10"/>
      <c r="CL113" s="10"/>
      <c r="CM113" s="10"/>
      <c r="CN113" s="10"/>
      <c r="CO113" s="10"/>
      <c r="CP113" s="10"/>
      <c r="CQ113" s="10"/>
      <c r="CR113" s="14"/>
      <c r="CS113" s="10"/>
      <c r="CT113" s="10"/>
      <c r="CU113" s="10"/>
      <c r="CV113" s="10"/>
      <c r="CW113" s="10"/>
      <c r="CX113" s="10"/>
      <c r="CY113" s="238"/>
      <c r="CZ113" s="14"/>
      <c r="DA113" s="10"/>
      <c r="DB113" s="10"/>
      <c r="DC113" s="10"/>
      <c r="DD113" s="10"/>
      <c r="DE113" s="10"/>
      <c r="DF113" s="10"/>
      <c r="DG113" s="10"/>
      <c r="DH113" s="14"/>
      <c r="DI113" s="10"/>
      <c r="DJ113" s="10"/>
      <c r="DK113" s="10"/>
      <c r="DL113" s="10"/>
      <c r="DM113" s="10"/>
      <c r="DN113" s="10"/>
      <c r="DO113" s="238"/>
      <c r="DP113" s="14"/>
      <c r="DQ113" s="10"/>
      <c r="DR113" s="10"/>
      <c r="DS113" s="10"/>
      <c r="DT113" s="10"/>
      <c r="DU113" s="10"/>
      <c r="DV113" s="10"/>
      <c r="DW113" s="10"/>
      <c r="DX113" s="14"/>
      <c r="DY113" s="10"/>
      <c r="DZ113" s="10"/>
      <c r="EA113" s="10"/>
      <c r="EB113" s="10"/>
      <c r="EC113" s="10"/>
      <c r="ED113" s="10"/>
      <c r="EE113" s="238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238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238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238"/>
      <c r="FP113" s="14"/>
      <c r="FQ113" s="14"/>
      <c r="FR113" s="14"/>
      <c r="FS113" s="14"/>
      <c r="FT113" s="14"/>
      <c r="FU113" s="238"/>
      <c r="FV113" s="14"/>
      <c r="FW113" s="14"/>
      <c r="FX113" s="14"/>
      <c r="FY113" s="14"/>
      <c r="FZ113" s="14"/>
      <c r="GA113" s="120"/>
      <c r="GB113" s="122" t="str">
        <f t="shared" si="54"/>
        <v/>
      </c>
      <c r="GC113" s="140" t="str">
        <f t="shared" si="55"/>
        <v/>
      </c>
      <c r="GD113" s="122">
        <f t="shared" si="56"/>
        <v>0</v>
      </c>
      <c r="GE113" s="122">
        <f t="shared" si="57"/>
        <v>0</v>
      </c>
      <c r="GF113" s="122">
        <f t="shared" si="58"/>
        <v>0</v>
      </c>
      <c r="GG113" s="122">
        <f t="shared" si="59"/>
        <v>0</v>
      </c>
      <c r="GH113" s="122">
        <f t="shared" si="60"/>
        <v>0</v>
      </c>
      <c r="GI113" s="122">
        <f t="shared" si="61"/>
        <v>0</v>
      </c>
      <c r="GJ113" s="122">
        <f t="shared" si="62"/>
        <v>0</v>
      </c>
      <c r="GK113" s="122">
        <f t="shared" si="63"/>
        <v>0</v>
      </c>
      <c r="GL113" s="122">
        <f t="shared" si="64"/>
        <v>0</v>
      </c>
      <c r="GM113" s="122">
        <f t="shared" si="65"/>
        <v>0</v>
      </c>
      <c r="GN113" s="122">
        <f t="shared" si="66"/>
        <v>0</v>
      </c>
      <c r="GO113" s="122">
        <f t="shared" si="67"/>
        <v>0</v>
      </c>
      <c r="GP113" s="122">
        <f t="shared" si="68"/>
        <v>0</v>
      </c>
      <c r="GQ113" s="122">
        <f t="shared" si="69"/>
        <v>0</v>
      </c>
      <c r="GR113" s="122">
        <f t="shared" si="70"/>
        <v>0</v>
      </c>
      <c r="GS113" s="123">
        <f t="shared" si="71"/>
        <v>0</v>
      </c>
      <c r="GT113"/>
      <c r="GU113"/>
      <c r="GV113"/>
      <c r="GW113" s="124"/>
      <c r="GX113" s="118"/>
      <c r="GY113" s="118"/>
      <c r="GZ113" s="118"/>
      <c r="HA113" s="118"/>
      <c r="HB113" s="118"/>
      <c r="HC113" s="118"/>
      <c r="HD113" s="118"/>
      <c r="HE113" s="118"/>
      <c r="HF113" s="118"/>
      <c r="HG113" s="118"/>
      <c r="HH113" s="118"/>
      <c r="HI113" s="118"/>
      <c r="HJ113" s="118"/>
      <c r="HK113" s="118"/>
      <c r="HL113" s="118"/>
    </row>
    <row r="114" spans="1:220" s="74" customFormat="1" ht="30" hidden="1" customHeight="1" x14ac:dyDescent="0.35">
      <c r="A114" s="119">
        <v>105</v>
      </c>
      <c r="B114" s="3"/>
      <c r="C114" s="6"/>
      <c r="D114" s="3"/>
      <c r="E114" s="246"/>
      <c r="F114" s="8"/>
      <c r="G114" s="8"/>
      <c r="H114" s="8"/>
      <c r="I114" s="8"/>
      <c r="J114" s="8"/>
      <c r="K114" s="8"/>
      <c r="L114" s="8"/>
      <c r="M114" s="8"/>
      <c r="N114" s="8"/>
      <c r="O114" s="9"/>
      <c r="P114" s="238"/>
      <c r="Q114" s="12"/>
      <c r="R114" s="8"/>
      <c r="S114" s="8"/>
      <c r="T114" s="8"/>
      <c r="U114" s="8"/>
      <c r="V114" s="8"/>
      <c r="W114" s="8"/>
      <c r="X114" s="8"/>
      <c r="Y114" s="8"/>
      <c r="Z114" s="13"/>
      <c r="AA114" s="238"/>
      <c r="AB114" s="12"/>
      <c r="AC114" s="8"/>
      <c r="AD114" s="8"/>
      <c r="AE114" s="8"/>
      <c r="AF114" s="8"/>
      <c r="AG114" s="8"/>
      <c r="AH114" s="8"/>
      <c r="AI114" s="8"/>
      <c r="AJ114" s="8"/>
      <c r="AK114" s="13"/>
      <c r="AL114" s="238"/>
      <c r="AM114" s="12"/>
      <c r="AN114" s="8"/>
      <c r="AO114" s="8"/>
      <c r="AP114" s="8"/>
      <c r="AQ114" s="8"/>
      <c r="AR114" s="8"/>
      <c r="AS114" s="8"/>
      <c r="AT114" s="8"/>
      <c r="AU114" s="8"/>
      <c r="AV114" s="13"/>
      <c r="AW114" s="238"/>
      <c r="AX114" s="12"/>
      <c r="AY114" s="8"/>
      <c r="AZ114" s="8"/>
      <c r="BA114" s="8"/>
      <c r="BB114" s="8"/>
      <c r="BC114" s="8"/>
      <c r="BD114" s="8"/>
      <c r="BE114" s="8"/>
      <c r="BF114" s="8"/>
      <c r="BG114" s="13"/>
      <c r="BH114" s="238"/>
      <c r="BI114" s="12"/>
      <c r="BJ114" s="8"/>
      <c r="BK114" s="8"/>
      <c r="BL114" s="8"/>
      <c r="BM114" s="8"/>
      <c r="BN114" s="8"/>
      <c r="BO114" s="8"/>
      <c r="BP114" s="8"/>
      <c r="BQ114" s="8"/>
      <c r="BR114" s="13"/>
      <c r="BS114" s="238"/>
      <c r="BT114" s="12"/>
      <c r="BU114" s="8"/>
      <c r="BV114" s="8"/>
      <c r="BW114" s="8"/>
      <c r="BX114" s="8"/>
      <c r="BY114" s="8"/>
      <c r="BZ114" s="8"/>
      <c r="CA114" s="8"/>
      <c r="CB114" s="12"/>
      <c r="CC114" s="8"/>
      <c r="CD114" s="8"/>
      <c r="CE114" s="8"/>
      <c r="CF114" s="8"/>
      <c r="CG114" s="8"/>
      <c r="CH114" s="8"/>
      <c r="CI114" s="238"/>
      <c r="CJ114" s="12"/>
      <c r="CK114" s="8"/>
      <c r="CL114" s="8"/>
      <c r="CM114" s="8"/>
      <c r="CN114" s="8"/>
      <c r="CO114" s="8"/>
      <c r="CP114" s="8"/>
      <c r="CQ114" s="8"/>
      <c r="CR114" s="12"/>
      <c r="CS114" s="8"/>
      <c r="CT114" s="8"/>
      <c r="CU114" s="8"/>
      <c r="CV114" s="8"/>
      <c r="CW114" s="8"/>
      <c r="CX114" s="8"/>
      <c r="CY114" s="238"/>
      <c r="CZ114" s="12"/>
      <c r="DA114" s="8"/>
      <c r="DB114" s="8"/>
      <c r="DC114" s="8"/>
      <c r="DD114" s="8"/>
      <c r="DE114" s="8"/>
      <c r="DF114" s="8"/>
      <c r="DG114" s="8"/>
      <c r="DH114" s="12"/>
      <c r="DI114" s="8"/>
      <c r="DJ114" s="8"/>
      <c r="DK114" s="8"/>
      <c r="DL114" s="8"/>
      <c r="DM114" s="8"/>
      <c r="DN114" s="8"/>
      <c r="DO114" s="238"/>
      <c r="DP114" s="12"/>
      <c r="DQ114" s="8"/>
      <c r="DR114" s="8"/>
      <c r="DS114" s="8"/>
      <c r="DT114" s="8"/>
      <c r="DU114" s="8"/>
      <c r="DV114" s="8"/>
      <c r="DW114" s="8"/>
      <c r="DX114" s="12"/>
      <c r="DY114" s="8"/>
      <c r="DZ114" s="8"/>
      <c r="EA114" s="8"/>
      <c r="EB114" s="8"/>
      <c r="EC114" s="8"/>
      <c r="ED114" s="8"/>
      <c r="EE114" s="238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238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238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238"/>
      <c r="FP114" s="12"/>
      <c r="FQ114" s="12"/>
      <c r="FR114" s="12"/>
      <c r="FS114" s="12"/>
      <c r="FT114" s="12"/>
      <c r="FU114" s="238"/>
      <c r="FV114" s="12"/>
      <c r="FW114" s="12"/>
      <c r="FX114" s="12"/>
      <c r="FY114" s="12"/>
      <c r="FZ114" s="12"/>
      <c r="GA114" s="120"/>
      <c r="GB114" s="118" t="str">
        <f t="shared" si="54"/>
        <v/>
      </c>
      <c r="GC114" s="139" t="str">
        <f t="shared" si="55"/>
        <v/>
      </c>
      <c r="GD114" s="118">
        <f t="shared" si="56"/>
        <v>0</v>
      </c>
      <c r="GE114" s="118">
        <f t="shared" si="57"/>
        <v>0</v>
      </c>
      <c r="GF114" s="118">
        <f t="shared" si="58"/>
        <v>0</v>
      </c>
      <c r="GG114" s="118">
        <f t="shared" si="59"/>
        <v>0</v>
      </c>
      <c r="GH114" s="118">
        <f t="shared" si="60"/>
        <v>0</v>
      </c>
      <c r="GI114" s="118">
        <f t="shared" si="61"/>
        <v>0</v>
      </c>
      <c r="GJ114" s="118">
        <f t="shared" si="62"/>
        <v>0</v>
      </c>
      <c r="GK114" s="118">
        <f t="shared" si="63"/>
        <v>0</v>
      </c>
      <c r="GL114" s="118">
        <f t="shared" si="64"/>
        <v>0</v>
      </c>
      <c r="GM114" s="118">
        <f t="shared" si="65"/>
        <v>0</v>
      </c>
      <c r="GN114" s="118">
        <f t="shared" si="66"/>
        <v>0</v>
      </c>
      <c r="GO114" s="118">
        <f t="shared" si="67"/>
        <v>0</v>
      </c>
      <c r="GP114" s="118">
        <f t="shared" si="68"/>
        <v>0</v>
      </c>
      <c r="GQ114" s="118">
        <f t="shared" si="69"/>
        <v>0</v>
      </c>
      <c r="GR114" s="118">
        <f t="shared" si="70"/>
        <v>0</v>
      </c>
      <c r="GS114" s="121">
        <f t="shared" si="71"/>
        <v>0</v>
      </c>
      <c r="GT114"/>
      <c r="GU114"/>
      <c r="GV114"/>
      <c r="GW114" s="124"/>
      <c r="GX114" s="118"/>
      <c r="GY114" s="118"/>
      <c r="GZ114" s="118"/>
      <c r="HA114" s="118"/>
      <c r="HB114" s="118"/>
      <c r="HC114" s="118"/>
      <c r="HD114" s="118"/>
      <c r="HE114" s="118"/>
      <c r="HF114" s="118"/>
      <c r="HG114" s="118"/>
      <c r="HH114" s="118"/>
      <c r="HI114" s="118"/>
      <c r="HJ114" s="118"/>
      <c r="HK114" s="118"/>
      <c r="HL114" s="118"/>
    </row>
    <row r="115" spans="1:220" s="74" customFormat="1" ht="30" hidden="1" customHeight="1" x14ac:dyDescent="0.35">
      <c r="A115" s="119">
        <v>106</v>
      </c>
      <c r="B115" s="4"/>
      <c r="C115" s="7"/>
      <c r="D115" s="4"/>
      <c r="E115" s="246"/>
      <c r="F115" s="10"/>
      <c r="G115" s="10"/>
      <c r="H115" s="10"/>
      <c r="I115" s="10"/>
      <c r="J115" s="10"/>
      <c r="K115" s="10"/>
      <c r="L115" s="10"/>
      <c r="M115" s="10"/>
      <c r="N115" s="10"/>
      <c r="O115" s="11"/>
      <c r="P115" s="238"/>
      <c r="Q115" s="14"/>
      <c r="R115" s="10"/>
      <c r="S115" s="10"/>
      <c r="T115" s="10"/>
      <c r="U115" s="10"/>
      <c r="V115" s="10"/>
      <c r="W115" s="10"/>
      <c r="X115" s="10"/>
      <c r="Y115" s="10"/>
      <c r="Z115" s="15"/>
      <c r="AA115" s="238"/>
      <c r="AB115" s="14"/>
      <c r="AC115" s="10"/>
      <c r="AD115" s="10"/>
      <c r="AE115" s="10"/>
      <c r="AF115" s="10"/>
      <c r="AG115" s="10"/>
      <c r="AH115" s="10"/>
      <c r="AI115" s="10"/>
      <c r="AJ115" s="10"/>
      <c r="AK115" s="15"/>
      <c r="AL115" s="238"/>
      <c r="AM115" s="14"/>
      <c r="AN115" s="10"/>
      <c r="AO115" s="10"/>
      <c r="AP115" s="10"/>
      <c r="AQ115" s="10"/>
      <c r="AR115" s="10"/>
      <c r="AS115" s="10"/>
      <c r="AT115" s="10"/>
      <c r="AU115" s="10"/>
      <c r="AV115" s="15"/>
      <c r="AW115" s="238"/>
      <c r="AX115" s="14"/>
      <c r="AY115" s="10"/>
      <c r="AZ115" s="10"/>
      <c r="BA115" s="10"/>
      <c r="BB115" s="10"/>
      <c r="BC115" s="10"/>
      <c r="BD115" s="10"/>
      <c r="BE115" s="10"/>
      <c r="BF115" s="10"/>
      <c r="BG115" s="15"/>
      <c r="BH115" s="238"/>
      <c r="BI115" s="14"/>
      <c r="BJ115" s="10"/>
      <c r="BK115" s="10"/>
      <c r="BL115" s="10"/>
      <c r="BM115" s="10"/>
      <c r="BN115" s="10"/>
      <c r="BO115" s="10"/>
      <c r="BP115" s="10"/>
      <c r="BQ115" s="10"/>
      <c r="BR115" s="15"/>
      <c r="BS115" s="238"/>
      <c r="BT115" s="14"/>
      <c r="BU115" s="10"/>
      <c r="BV115" s="10"/>
      <c r="BW115" s="10"/>
      <c r="BX115" s="10"/>
      <c r="BY115" s="10"/>
      <c r="BZ115" s="10"/>
      <c r="CA115" s="10"/>
      <c r="CB115" s="14"/>
      <c r="CC115" s="10"/>
      <c r="CD115" s="10"/>
      <c r="CE115" s="10"/>
      <c r="CF115" s="10"/>
      <c r="CG115" s="10"/>
      <c r="CH115" s="10"/>
      <c r="CI115" s="238"/>
      <c r="CJ115" s="14"/>
      <c r="CK115" s="10"/>
      <c r="CL115" s="10"/>
      <c r="CM115" s="10"/>
      <c r="CN115" s="10"/>
      <c r="CO115" s="10"/>
      <c r="CP115" s="10"/>
      <c r="CQ115" s="10"/>
      <c r="CR115" s="14"/>
      <c r="CS115" s="10"/>
      <c r="CT115" s="10"/>
      <c r="CU115" s="10"/>
      <c r="CV115" s="10"/>
      <c r="CW115" s="10"/>
      <c r="CX115" s="10"/>
      <c r="CY115" s="238"/>
      <c r="CZ115" s="14"/>
      <c r="DA115" s="10"/>
      <c r="DB115" s="10"/>
      <c r="DC115" s="10"/>
      <c r="DD115" s="10"/>
      <c r="DE115" s="10"/>
      <c r="DF115" s="10"/>
      <c r="DG115" s="10"/>
      <c r="DH115" s="14"/>
      <c r="DI115" s="10"/>
      <c r="DJ115" s="10"/>
      <c r="DK115" s="10"/>
      <c r="DL115" s="10"/>
      <c r="DM115" s="10"/>
      <c r="DN115" s="10"/>
      <c r="DO115" s="238"/>
      <c r="DP115" s="14"/>
      <c r="DQ115" s="10"/>
      <c r="DR115" s="10"/>
      <c r="DS115" s="10"/>
      <c r="DT115" s="10"/>
      <c r="DU115" s="10"/>
      <c r="DV115" s="10"/>
      <c r="DW115" s="10"/>
      <c r="DX115" s="14"/>
      <c r="DY115" s="10"/>
      <c r="DZ115" s="10"/>
      <c r="EA115" s="10"/>
      <c r="EB115" s="10"/>
      <c r="EC115" s="10"/>
      <c r="ED115" s="10"/>
      <c r="EE115" s="238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238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238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238"/>
      <c r="FP115" s="14"/>
      <c r="FQ115" s="14"/>
      <c r="FR115" s="14"/>
      <c r="FS115" s="14"/>
      <c r="FT115" s="14"/>
      <c r="FU115" s="238"/>
      <c r="FV115" s="14"/>
      <c r="FW115" s="14"/>
      <c r="FX115" s="14"/>
      <c r="FY115" s="14"/>
      <c r="FZ115" s="14"/>
      <c r="GA115" s="120"/>
      <c r="GB115" s="122" t="str">
        <f t="shared" si="54"/>
        <v/>
      </c>
      <c r="GC115" s="140" t="str">
        <f t="shared" si="55"/>
        <v/>
      </c>
      <c r="GD115" s="122">
        <f t="shared" si="56"/>
        <v>0</v>
      </c>
      <c r="GE115" s="122">
        <f t="shared" si="57"/>
        <v>0</v>
      </c>
      <c r="GF115" s="122">
        <f t="shared" si="58"/>
        <v>0</v>
      </c>
      <c r="GG115" s="122">
        <f t="shared" si="59"/>
        <v>0</v>
      </c>
      <c r="GH115" s="122">
        <f t="shared" si="60"/>
        <v>0</v>
      </c>
      <c r="GI115" s="122">
        <f t="shared" si="61"/>
        <v>0</v>
      </c>
      <c r="GJ115" s="122">
        <f t="shared" si="62"/>
        <v>0</v>
      </c>
      <c r="GK115" s="122">
        <f t="shared" si="63"/>
        <v>0</v>
      </c>
      <c r="GL115" s="122">
        <f t="shared" si="64"/>
        <v>0</v>
      </c>
      <c r="GM115" s="122">
        <f t="shared" si="65"/>
        <v>0</v>
      </c>
      <c r="GN115" s="122">
        <f t="shared" si="66"/>
        <v>0</v>
      </c>
      <c r="GO115" s="122">
        <f t="shared" si="67"/>
        <v>0</v>
      </c>
      <c r="GP115" s="122">
        <f t="shared" si="68"/>
        <v>0</v>
      </c>
      <c r="GQ115" s="122">
        <f t="shared" si="69"/>
        <v>0</v>
      </c>
      <c r="GR115" s="122">
        <f t="shared" si="70"/>
        <v>0</v>
      </c>
      <c r="GS115" s="123">
        <f t="shared" si="71"/>
        <v>0</v>
      </c>
      <c r="GT115"/>
      <c r="GU115"/>
      <c r="GV115"/>
      <c r="GW115" s="124"/>
      <c r="GX115" s="118"/>
      <c r="GY115" s="118"/>
      <c r="GZ115" s="118"/>
      <c r="HA115" s="118"/>
      <c r="HB115" s="118"/>
      <c r="HC115" s="118"/>
      <c r="HD115" s="118"/>
      <c r="HE115" s="118"/>
      <c r="HF115" s="118"/>
      <c r="HG115" s="118"/>
      <c r="HH115" s="118"/>
      <c r="HI115" s="118"/>
      <c r="HJ115" s="118"/>
      <c r="HK115" s="118"/>
      <c r="HL115" s="118"/>
    </row>
    <row r="116" spans="1:220" s="74" customFormat="1" ht="30" hidden="1" customHeight="1" x14ac:dyDescent="0.35">
      <c r="A116" s="119">
        <v>107</v>
      </c>
      <c r="B116" s="3"/>
      <c r="C116" s="6"/>
      <c r="D116" s="3"/>
      <c r="E116" s="246"/>
      <c r="F116" s="8"/>
      <c r="G116" s="8"/>
      <c r="H116" s="8"/>
      <c r="I116" s="8"/>
      <c r="J116" s="8"/>
      <c r="K116" s="8"/>
      <c r="L116" s="8"/>
      <c r="M116" s="8"/>
      <c r="N116" s="8"/>
      <c r="O116" s="9"/>
      <c r="P116" s="238"/>
      <c r="Q116" s="12"/>
      <c r="R116" s="8"/>
      <c r="S116" s="8"/>
      <c r="T116" s="8"/>
      <c r="U116" s="8"/>
      <c r="V116" s="8"/>
      <c r="W116" s="8"/>
      <c r="X116" s="8"/>
      <c r="Y116" s="8"/>
      <c r="Z116" s="13"/>
      <c r="AA116" s="238"/>
      <c r="AB116" s="12"/>
      <c r="AC116" s="8"/>
      <c r="AD116" s="8"/>
      <c r="AE116" s="8"/>
      <c r="AF116" s="8"/>
      <c r="AG116" s="8"/>
      <c r="AH116" s="8"/>
      <c r="AI116" s="8"/>
      <c r="AJ116" s="8"/>
      <c r="AK116" s="13"/>
      <c r="AL116" s="238"/>
      <c r="AM116" s="12"/>
      <c r="AN116" s="8"/>
      <c r="AO116" s="8"/>
      <c r="AP116" s="8"/>
      <c r="AQ116" s="8"/>
      <c r="AR116" s="8"/>
      <c r="AS116" s="8"/>
      <c r="AT116" s="8"/>
      <c r="AU116" s="8"/>
      <c r="AV116" s="13"/>
      <c r="AW116" s="238"/>
      <c r="AX116" s="12"/>
      <c r="AY116" s="8"/>
      <c r="AZ116" s="8"/>
      <c r="BA116" s="8"/>
      <c r="BB116" s="8"/>
      <c r="BC116" s="8"/>
      <c r="BD116" s="8"/>
      <c r="BE116" s="8"/>
      <c r="BF116" s="8"/>
      <c r="BG116" s="13"/>
      <c r="BH116" s="238"/>
      <c r="BI116" s="12"/>
      <c r="BJ116" s="8"/>
      <c r="BK116" s="8"/>
      <c r="BL116" s="8"/>
      <c r="BM116" s="8"/>
      <c r="BN116" s="8"/>
      <c r="BO116" s="8"/>
      <c r="BP116" s="8"/>
      <c r="BQ116" s="8"/>
      <c r="BR116" s="13"/>
      <c r="BS116" s="238"/>
      <c r="BT116" s="12"/>
      <c r="BU116" s="8"/>
      <c r="BV116" s="8"/>
      <c r="BW116" s="8"/>
      <c r="BX116" s="8"/>
      <c r="BY116" s="8"/>
      <c r="BZ116" s="8"/>
      <c r="CA116" s="8"/>
      <c r="CB116" s="12"/>
      <c r="CC116" s="8"/>
      <c r="CD116" s="8"/>
      <c r="CE116" s="8"/>
      <c r="CF116" s="8"/>
      <c r="CG116" s="8"/>
      <c r="CH116" s="8"/>
      <c r="CI116" s="238"/>
      <c r="CJ116" s="12"/>
      <c r="CK116" s="8"/>
      <c r="CL116" s="8"/>
      <c r="CM116" s="8"/>
      <c r="CN116" s="8"/>
      <c r="CO116" s="8"/>
      <c r="CP116" s="8"/>
      <c r="CQ116" s="8"/>
      <c r="CR116" s="12"/>
      <c r="CS116" s="8"/>
      <c r="CT116" s="8"/>
      <c r="CU116" s="8"/>
      <c r="CV116" s="8"/>
      <c r="CW116" s="8"/>
      <c r="CX116" s="8"/>
      <c r="CY116" s="238"/>
      <c r="CZ116" s="12"/>
      <c r="DA116" s="8"/>
      <c r="DB116" s="8"/>
      <c r="DC116" s="8"/>
      <c r="DD116" s="8"/>
      <c r="DE116" s="8"/>
      <c r="DF116" s="8"/>
      <c r="DG116" s="8"/>
      <c r="DH116" s="12"/>
      <c r="DI116" s="8"/>
      <c r="DJ116" s="8"/>
      <c r="DK116" s="8"/>
      <c r="DL116" s="8"/>
      <c r="DM116" s="8"/>
      <c r="DN116" s="8"/>
      <c r="DO116" s="238"/>
      <c r="DP116" s="12"/>
      <c r="DQ116" s="8"/>
      <c r="DR116" s="8"/>
      <c r="DS116" s="8"/>
      <c r="DT116" s="8"/>
      <c r="DU116" s="8"/>
      <c r="DV116" s="8"/>
      <c r="DW116" s="8"/>
      <c r="DX116" s="12"/>
      <c r="DY116" s="8"/>
      <c r="DZ116" s="8"/>
      <c r="EA116" s="8"/>
      <c r="EB116" s="8"/>
      <c r="EC116" s="8"/>
      <c r="ED116" s="8"/>
      <c r="EE116" s="238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238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238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238"/>
      <c r="FP116" s="12"/>
      <c r="FQ116" s="12"/>
      <c r="FR116" s="12"/>
      <c r="FS116" s="12"/>
      <c r="FT116" s="12"/>
      <c r="FU116" s="238"/>
      <c r="FV116" s="12"/>
      <c r="FW116" s="12"/>
      <c r="FX116" s="12"/>
      <c r="FY116" s="12"/>
      <c r="FZ116" s="12"/>
      <c r="GA116" s="120"/>
      <c r="GB116" s="118" t="str">
        <f t="shared" si="54"/>
        <v/>
      </c>
      <c r="GC116" s="139" t="str">
        <f t="shared" si="55"/>
        <v/>
      </c>
      <c r="GD116" s="118">
        <f t="shared" si="56"/>
        <v>0</v>
      </c>
      <c r="GE116" s="118">
        <f t="shared" si="57"/>
        <v>0</v>
      </c>
      <c r="GF116" s="118">
        <f t="shared" si="58"/>
        <v>0</v>
      </c>
      <c r="GG116" s="118">
        <f t="shared" si="59"/>
        <v>0</v>
      </c>
      <c r="GH116" s="118">
        <f t="shared" si="60"/>
        <v>0</v>
      </c>
      <c r="GI116" s="118">
        <f t="shared" si="61"/>
        <v>0</v>
      </c>
      <c r="GJ116" s="118">
        <f t="shared" si="62"/>
        <v>0</v>
      </c>
      <c r="GK116" s="118">
        <f t="shared" si="63"/>
        <v>0</v>
      </c>
      <c r="GL116" s="118">
        <f t="shared" si="64"/>
        <v>0</v>
      </c>
      <c r="GM116" s="118">
        <f t="shared" si="65"/>
        <v>0</v>
      </c>
      <c r="GN116" s="118">
        <f t="shared" si="66"/>
        <v>0</v>
      </c>
      <c r="GO116" s="118">
        <f t="shared" si="67"/>
        <v>0</v>
      </c>
      <c r="GP116" s="118">
        <f t="shared" si="68"/>
        <v>0</v>
      </c>
      <c r="GQ116" s="118">
        <f t="shared" si="69"/>
        <v>0</v>
      </c>
      <c r="GR116" s="118">
        <f t="shared" si="70"/>
        <v>0</v>
      </c>
      <c r="GS116" s="121">
        <f t="shared" si="71"/>
        <v>0</v>
      </c>
      <c r="GT116"/>
      <c r="GU116"/>
      <c r="GV116"/>
      <c r="GW116" s="124"/>
      <c r="GX116" s="118"/>
      <c r="GY116" s="118"/>
      <c r="GZ116" s="118"/>
      <c r="HA116" s="118"/>
      <c r="HB116" s="118"/>
      <c r="HC116" s="118"/>
      <c r="HD116" s="118"/>
      <c r="HE116" s="118"/>
      <c r="HF116" s="118"/>
      <c r="HG116" s="118"/>
      <c r="HH116" s="118"/>
      <c r="HI116" s="118"/>
      <c r="HJ116" s="118"/>
      <c r="HK116" s="118"/>
      <c r="HL116" s="118"/>
    </row>
    <row r="117" spans="1:220" s="74" customFormat="1" ht="30" hidden="1" customHeight="1" x14ac:dyDescent="0.35">
      <c r="A117" s="119">
        <v>108</v>
      </c>
      <c r="B117" s="4"/>
      <c r="C117" s="7"/>
      <c r="D117" s="4"/>
      <c r="E117" s="246"/>
      <c r="F117" s="10"/>
      <c r="G117" s="10"/>
      <c r="H117" s="10"/>
      <c r="I117" s="10"/>
      <c r="J117" s="10"/>
      <c r="K117" s="10"/>
      <c r="L117" s="10"/>
      <c r="M117" s="10"/>
      <c r="N117" s="10"/>
      <c r="O117" s="11"/>
      <c r="P117" s="238"/>
      <c r="Q117" s="14"/>
      <c r="R117" s="10"/>
      <c r="S117" s="10"/>
      <c r="T117" s="10"/>
      <c r="U117" s="10"/>
      <c r="V117" s="10"/>
      <c r="W117" s="10"/>
      <c r="X117" s="10"/>
      <c r="Y117" s="10"/>
      <c r="Z117" s="15"/>
      <c r="AA117" s="238"/>
      <c r="AB117" s="14"/>
      <c r="AC117" s="10"/>
      <c r="AD117" s="10"/>
      <c r="AE117" s="10"/>
      <c r="AF117" s="10"/>
      <c r="AG117" s="10"/>
      <c r="AH117" s="10"/>
      <c r="AI117" s="10"/>
      <c r="AJ117" s="10"/>
      <c r="AK117" s="15"/>
      <c r="AL117" s="238"/>
      <c r="AM117" s="14"/>
      <c r="AN117" s="10"/>
      <c r="AO117" s="10"/>
      <c r="AP117" s="10"/>
      <c r="AQ117" s="10"/>
      <c r="AR117" s="10"/>
      <c r="AS117" s="10"/>
      <c r="AT117" s="10"/>
      <c r="AU117" s="10"/>
      <c r="AV117" s="15"/>
      <c r="AW117" s="238"/>
      <c r="AX117" s="14"/>
      <c r="AY117" s="10"/>
      <c r="AZ117" s="10"/>
      <c r="BA117" s="10"/>
      <c r="BB117" s="10"/>
      <c r="BC117" s="10"/>
      <c r="BD117" s="10"/>
      <c r="BE117" s="10"/>
      <c r="BF117" s="10"/>
      <c r="BG117" s="15"/>
      <c r="BH117" s="238"/>
      <c r="BI117" s="14"/>
      <c r="BJ117" s="10"/>
      <c r="BK117" s="10"/>
      <c r="BL117" s="10"/>
      <c r="BM117" s="10"/>
      <c r="BN117" s="10"/>
      <c r="BO117" s="10"/>
      <c r="BP117" s="10"/>
      <c r="BQ117" s="10"/>
      <c r="BR117" s="15"/>
      <c r="BS117" s="238"/>
      <c r="BT117" s="14"/>
      <c r="BU117" s="10"/>
      <c r="BV117" s="10"/>
      <c r="BW117" s="10"/>
      <c r="BX117" s="10"/>
      <c r="BY117" s="10"/>
      <c r="BZ117" s="10"/>
      <c r="CA117" s="10"/>
      <c r="CB117" s="14"/>
      <c r="CC117" s="10"/>
      <c r="CD117" s="10"/>
      <c r="CE117" s="10"/>
      <c r="CF117" s="10"/>
      <c r="CG117" s="10"/>
      <c r="CH117" s="10"/>
      <c r="CI117" s="238"/>
      <c r="CJ117" s="14"/>
      <c r="CK117" s="10"/>
      <c r="CL117" s="10"/>
      <c r="CM117" s="10"/>
      <c r="CN117" s="10"/>
      <c r="CO117" s="10"/>
      <c r="CP117" s="10"/>
      <c r="CQ117" s="10"/>
      <c r="CR117" s="14"/>
      <c r="CS117" s="10"/>
      <c r="CT117" s="10"/>
      <c r="CU117" s="10"/>
      <c r="CV117" s="10"/>
      <c r="CW117" s="10"/>
      <c r="CX117" s="10"/>
      <c r="CY117" s="238"/>
      <c r="CZ117" s="14"/>
      <c r="DA117" s="10"/>
      <c r="DB117" s="10"/>
      <c r="DC117" s="10"/>
      <c r="DD117" s="10"/>
      <c r="DE117" s="10"/>
      <c r="DF117" s="10"/>
      <c r="DG117" s="10"/>
      <c r="DH117" s="14"/>
      <c r="DI117" s="10"/>
      <c r="DJ117" s="10"/>
      <c r="DK117" s="10"/>
      <c r="DL117" s="10"/>
      <c r="DM117" s="10"/>
      <c r="DN117" s="10"/>
      <c r="DO117" s="238"/>
      <c r="DP117" s="14"/>
      <c r="DQ117" s="10"/>
      <c r="DR117" s="10"/>
      <c r="DS117" s="10"/>
      <c r="DT117" s="10"/>
      <c r="DU117" s="10"/>
      <c r="DV117" s="10"/>
      <c r="DW117" s="10"/>
      <c r="DX117" s="14"/>
      <c r="DY117" s="10"/>
      <c r="DZ117" s="10"/>
      <c r="EA117" s="10"/>
      <c r="EB117" s="10"/>
      <c r="EC117" s="10"/>
      <c r="ED117" s="10"/>
      <c r="EE117" s="238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238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/>
      <c r="FC117" s="238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238"/>
      <c r="FP117" s="14"/>
      <c r="FQ117" s="14"/>
      <c r="FR117" s="14"/>
      <c r="FS117" s="14"/>
      <c r="FT117" s="14"/>
      <c r="FU117" s="238"/>
      <c r="FV117" s="14"/>
      <c r="FW117" s="14"/>
      <c r="FX117" s="14"/>
      <c r="FY117" s="14"/>
      <c r="FZ117" s="14"/>
      <c r="GA117" s="120"/>
      <c r="GB117" s="122" t="str">
        <f t="shared" si="54"/>
        <v/>
      </c>
      <c r="GC117" s="140" t="str">
        <f t="shared" si="55"/>
        <v/>
      </c>
      <c r="GD117" s="122">
        <f t="shared" si="56"/>
        <v>0</v>
      </c>
      <c r="GE117" s="122">
        <f t="shared" si="57"/>
        <v>0</v>
      </c>
      <c r="GF117" s="122">
        <f t="shared" si="58"/>
        <v>0</v>
      </c>
      <c r="GG117" s="122">
        <f t="shared" si="59"/>
        <v>0</v>
      </c>
      <c r="GH117" s="122">
        <f t="shared" si="60"/>
        <v>0</v>
      </c>
      <c r="GI117" s="122">
        <f t="shared" si="61"/>
        <v>0</v>
      </c>
      <c r="GJ117" s="122">
        <f t="shared" si="62"/>
        <v>0</v>
      </c>
      <c r="GK117" s="122">
        <f t="shared" si="63"/>
        <v>0</v>
      </c>
      <c r="GL117" s="122">
        <f t="shared" si="64"/>
        <v>0</v>
      </c>
      <c r="GM117" s="122">
        <f t="shared" si="65"/>
        <v>0</v>
      </c>
      <c r="GN117" s="122">
        <f t="shared" si="66"/>
        <v>0</v>
      </c>
      <c r="GO117" s="122">
        <f t="shared" si="67"/>
        <v>0</v>
      </c>
      <c r="GP117" s="122">
        <f t="shared" si="68"/>
        <v>0</v>
      </c>
      <c r="GQ117" s="122">
        <f t="shared" si="69"/>
        <v>0</v>
      </c>
      <c r="GR117" s="122">
        <f t="shared" si="70"/>
        <v>0</v>
      </c>
      <c r="GS117" s="123">
        <f t="shared" si="71"/>
        <v>0</v>
      </c>
      <c r="GT117"/>
      <c r="GU117"/>
      <c r="GV117"/>
      <c r="GW117" s="124"/>
      <c r="GX117" s="118"/>
      <c r="GY117" s="118"/>
      <c r="GZ117" s="118"/>
      <c r="HA117" s="118"/>
      <c r="HB117" s="118"/>
      <c r="HC117" s="118"/>
      <c r="HD117" s="118"/>
      <c r="HE117" s="118"/>
      <c r="HF117" s="118"/>
      <c r="HG117" s="118"/>
      <c r="HH117" s="118"/>
      <c r="HI117" s="118"/>
      <c r="HJ117" s="118"/>
      <c r="HK117" s="118"/>
      <c r="HL117" s="118"/>
    </row>
    <row r="118" spans="1:220" s="74" customFormat="1" ht="30" hidden="1" customHeight="1" x14ac:dyDescent="0.35">
      <c r="A118" s="119">
        <v>109</v>
      </c>
      <c r="B118" s="3"/>
      <c r="C118" s="6"/>
      <c r="D118" s="3"/>
      <c r="E118" s="246"/>
      <c r="F118" s="8"/>
      <c r="G118" s="8"/>
      <c r="H118" s="8"/>
      <c r="I118" s="8"/>
      <c r="J118" s="8"/>
      <c r="K118" s="8"/>
      <c r="L118" s="8"/>
      <c r="M118" s="8"/>
      <c r="N118" s="8"/>
      <c r="O118" s="9"/>
      <c r="P118" s="238"/>
      <c r="Q118" s="12"/>
      <c r="R118" s="8"/>
      <c r="S118" s="8"/>
      <c r="T118" s="8"/>
      <c r="U118" s="8"/>
      <c r="V118" s="8"/>
      <c r="W118" s="8"/>
      <c r="X118" s="8"/>
      <c r="Y118" s="8"/>
      <c r="Z118" s="13"/>
      <c r="AA118" s="238"/>
      <c r="AB118" s="12"/>
      <c r="AC118" s="8"/>
      <c r="AD118" s="8"/>
      <c r="AE118" s="8"/>
      <c r="AF118" s="8"/>
      <c r="AG118" s="8"/>
      <c r="AH118" s="8"/>
      <c r="AI118" s="8"/>
      <c r="AJ118" s="8"/>
      <c r="AK118" s="13"/>
      <c r="AL118" s="238"/>
      <c r="AM118" s="12"/>
      <c r="AN118" s="8"/>
      <c r="AO118" s="8"/>
      <c r="AP118" s="8"/>
      <c r="AQ118" s="8"/>
      <c r="AR118" s="8"/>
      <c r="AS118" s="8"/>
      <c r="AT118" s="8"/>
      <c r="AU118" s="8"/>
      <c r="AV118" s="13"/>
      <c r="AW118" s="238"/>
      <c r="AX118" s="12"/>
      <c r="AY118" s="8"/>
      <c r="AZ118" s="8"/>
      <c r="BA118" s="8"/>
      <c r="BB118" s="8"/>
      <c r="BC118" s="8"/>
      <c r="BD118" s="8"/>
      <c r="BE118" s="8"/>
      <c r="BF118" s="8"/>
      <c r="BG118" s="13"/>
      <c r="BH118" s="238"/>
      <c r="BI118" s="12"/>
      <c r="BJ118" s="8"/>
      <c r="BK118" s="8"/>
      <c r="BL118" s="8"/>
      <c r="BM118" s="8"/>
      <c r="BN118" s="8"/>
      <c r="BO118" s="8"/>
      <c r="BP118" s="8"/>
      <c r="BQ118" s="8"/>
      <c r="BR118" s="13"/>
      <c r="BS118" s="238"/>
      <c r="BT118" s="12"/>
      <c r="BU118" s="8"/>
      <c r="BV118" s="8"/>
      <c r="BW118" s="8"/>
      <c r="BX118" s="8"/>
      <c r="BY118" s="8"/>
      <c r="BZ118" s="8"/>
      <c r="CA118" s="8"/>
      <c r="CB118" s="12"/>
      <c r="CC118" s="8"/>
      <c r="CD118" s="8"/>
      <c r="CE118" s="8"/>
      <c r="CF118" s="8"/>
      <c r="CG118" s="8"/>
      <c r="CH118" s="8"/>
      <c r="CI118" s="238"/>
      <c r="CJ118" s="12"/>
      <c r="CK118" s="8"/>
      <c r="CL118" s="8"/>
      <c r="CM118" s="8"/>
      <c r="CN118" s="8"/>
      <c r="CO118" s="8"/>
      <c r="CP118" s="8"/>
      <c r="CQ118" s="8"/>
      <c r="CR118" s="12"/>
      <c r="CS118" s="8"/>
      <c r="CT118" s="8"/>
      <c r="CU118" s="8"/>
      <c r="CV118" s="8"/>
      <c r="CW118" s="8"/>
      <c r="CX118" s="8"/>
      <c r="CY118" s="238"/>
      <c r="CZ118" s="12"/>
      <c r="DA118" s="8"/>
      <c r="DB118" s="8"/>
      <c r="DC118" s="8"/>
      <c r="DD118" s="8"/>
      <c r="DE118" s="8"/>
      <c r="DF118" s="8"/>
      <c r="DG118" s="8"/>
      <c r="DH118" s="12"/>
      <c r="DI118" s="8"/>
      <c r="DJ118" s="8"/>
      <c r="DK118" s="8"/>
      <c r="DL118" s="8"/>
      <c r="DM118" s="8"/>
      <c r="DN118" s="8"/>
      <c r="DO118" s="238"/>
      <c r="DP118" s="12"/>
      <c r="DQ118" s="8"/>
      <c r="DR118" s="8"/>
      <c r="DS118" s="8"/>
      <c r="DT118" s="8"/>
      <c r="DU118" s="8"/>
      <c r="DV118" s="8"/>
      <c r="DW118" s="8"/>
      <c r="DX118" s="12"/>
      <c r="DY118" s="8"/>
      <c r="DZ118" s="8"/>
      <c r="EA118" s="8"/>
      <c r="EB118" s="8"/>
      <c r="EC118" s="8"/>
      <c r="ED118" s="8"/>
      <c r="EE118" s="238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238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238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238"/>
      <c r="FP118" s="12"/>
      <c r="FQ118" s="12"/>
      <c r="FR118" s="12"/>
      <c r="FS118" s="12"/>
      <c r="FT118" s="12"/>
      <c r="FU118" s="238"/>
      <c r="FV118" s="12"/>
      <c r="FW118" s="12"/>
      <c r="FX118" s="12"/>
      <c r="FY118" s="12"/>
      <c r="FZ118" s="12"/>
      <c r="GA118" s="120"/>
      <c r="GB118" s="118" t="str">
        <f t="shared" si="54"/>
        <v/>
      </c>
      <c r="GC118" s="139" t="str">
        <f t="shared" si="55"/>
        <v/>
      </c>
      <c r="GD118" s="118">
        <f t="shared" si="56"/>
        <v>0</v>
      </c>
      <c r="GE118" s="118">
        <f t="shared" si="57"/>
        <v>0</v>
      </c>
      <c r="GF118" s="118">
        <f t="shared" si="58"/>
        <v>0</v>
      </c>
      <c r="GG118" s="118">
        <f t="shared" si="59"/>
        <v>0</v>
      </c>
      <c r="GH118" s="118">
        <f t="shared" si="60"/>
        <v>0</v>
      </c>
      <c r="GI118" s="118">
        <f t="shared" si="61"/>
        <v>0</v>
      </c>
      <c r="GJ118" s="118">
        <f t="shared" si="62"/>
        <v>0</v>
      </c>
      <c r="GK118" s="118">
        <f t="shared" si="63"/>
        <v>0</v>
      </c>
      <c r="GL118" s="118">
        <f t="shared" si="64"/>
        <v>0</v>
      </c>
      <c r="GM118" s="118">
        <f t="shared" si="65"/>
        <v>0</v>
      </c>
      <c r="GN118" s="118">
        <f t="shared" si="66"/>
        <v>0</v>
      </c>
      <c r="GO118" s="118">
        <f t="shared" si="67"/>
        <v>0</v>
      </c>
      <c r="GP118" s="118">
        <f t="shared" si="68"/>
        <v>0</v>
      </c>
      <c r="GQ118" s="118">
        <f t="shared" si="69"/>
        <v>0</v>
      </c>
      <c r="GR118" s="118">
        <f t="shared" si="70"/>
        <v>0</v>
      </c>
      <c r="GS118" s="121">
        <f t="shared" si="71"/>
        <v>0</v>
      </c>
      <c r="GT118"/>
      <c r="GU118"/>
      <c r="GV118"/>
      <c r="GW118" s="124"/>
      <c r="GX118" s="118"/>
      <c r="GY118" s="118"/>
      <c r="GZ118" s="118"/>
      <c r="HA118" s="118"/>
      <c r="HB118" s="118"/>
      <c r="HC118" s="118"/>
      <c r="HD118" s="118"/>
      <c r="HE118" s="118"/>
      <c r="HF118" s="118"/>
      <c r="HG118" s="118"/>
      <c r="HH118" s="118"/>
      <c r="HI118" s="118"/>
      <c r="HJ118" s="118"/>
      <c r="HK118" s="118"/>
      <c r="HL118" s="118"/>
    </row>
    <row r="119" spans="1:220" s="74" customFormat="1" ht="30" hidden="1" customHeight="1" x14ac:dyDescent="0.35">
      <c r="A119" s="119">
        <v>110</v>
      </c>
      <c r="B119" s="4"/>
      <c r="C119" s="7"/>
      <c r="D119" s="4"/>
      <c r="E119" s="246"/>
      <c r="F119" s="10"/>
      <c r="G119" s="10"/>
      <c r="H119" s="10"/>
      <c r="I119" s="10"/>
      <c r="J119" s="10"/>
      <c r="K119" s="10"/>
      <c r="L119" s="10"/>
      <c r="M119" s="10"/>
      <c r="N119" s="10"/>
      <c r="O119" s="11"/>
      <c r="P119" s="238"/>
      <c r="Q119" s="14"/>
      <c r="R119" s="10"/>
      <c r="S119" s="10"/>
      <c r="T119" s="10"/>
      <c r="U119" s="10"/>
      <c r="V119" s="10"/>
      <c r="W119" s="10"/>
      <c r="X119" s="10"/>
      <c r="Y119" s="10"/>
      <c r="Z119" s="15"/>
      <c r="AA119" s="238"/>
      <c r="AB119" s="14"/>
      <c r="AC119" s="10"/>
      <c r="AD119" s="10"/>
      <c r="AE119" s="10"/>
      <c r="AF119" s="10"/>
      <c r="AG119" s="10"/>
      <c r="AH119" s="10"/>
      <c r="AI119" s="10"/>
      <c r="AJ119" s="10"/>
      <c r="AK119" s="15"/>
      <c r="AL119" s="238"/>
      <c r="AM119" s="14"/>
      <c r="AN119" s="10"/>
      <c r="AO119" s="10"/>
      <c r="AP119" s="10"/>
      <c r="AQ119" s="10"/>
      <c r="AR119" s="10"/>
      <c r="AS119" s="10"/>
      <c r="AT119" s="10"/>
      <c r="AU119" s="10"/>
      <c r="AV119" s="15"/>
      <c r="AW119" s="238"/>
      <c r="AX119" s="14"/>
      <c r="AY119" s="10"/>
      <c r="AZ119" s="10"/>
      <c r="BA119" s="10"/>
      <c r="BB119" s="10"/>
      <c r="BC119" s="10"/>
      <c r="BD119" s="10"/>
      <c r="BE119" s="10"/>
      <c r="BF119" s="10"/>
      <c r="BG119" s="15"/>
      <c r="BH119" s="238"/>
      <c r="BI119" s="14"/>
      <c r="BJ119" s="10"/>
      <c r="BK119" s="10"/>
      <c r="BL119" s="10"/>
      <c r="BM119" s="10"/>
      <c r="BN119" s="10"/>
      <c r="BO119" s="10"/>
      <c r="BP119" s="10"/>
      <c r="BQ119" s="10"/>
      <c r="BR119" s="15"/>
      <c r="BS119" s="238"/>
      <c r="BT119" s="14"/>
      <c r="BU119" s="10"/>
      <c r="BV119" s="10"/>
      <c r="BW119" s="10"/>
      <c r="BX119" s="10"/>
      <c r="BY119" s="10"/>
      <c r="BZ119" s="10"/>
      <c r="CA119" s="10"/>
      <c r="CB119" s="14"/>
      <c r="CC119" s="10"/>
      <c r="CD119" s="10"/>
      <c r="CE119" s="10"/>
      <c r="CF119" s="10"/>
      <c r="CG119" s="10"/>
      <c r="CH119" s="10"/>
      <c r="CI119" s="238"/>
      <c r="CJ119" s="14"/>
      <c r="CK119" s="10"/>
      <c r="CL119" s="10"/>
      <c r="CM119" s="10"/>
      <c r="CN119" s="10"/>
      <c r="CO119" s="10"/>
      <c r="CP119" s="10"/>
      <c r="CQ119" s="10"/>
      <c r="CR119" s="14"/>
      <c r="CS119" s="10"/>
      <c r="CT119" s="10"/>
      <c r="CU119" s="10"/>
      <c r="CV119" s="10"/>
      <c r="CW119" s="10"/>
      <c r="CX119" s="10"/>
      <c r="CY119" s="238"/>
      <c r="CZ119" s="14"/>
      <c r="DA119" s="10"/>
      <c r="DB119" s="10"/>
      <c r="DC119" s="10"/>
      <c r="DD119" s="10"/>
      <c r="DE119" s="10"/>
      <c r="DF119" s="10"/>
      <c r="DG119" s="10"/>
      <c r="DH119" s="14"/>
      <c r="DI119" s="10"/>
      <c r="DJ119" s="10"/>
      <c r="DK119" s="10"/>
      <c r="DL119" s="10"/>
      <c r="DM119" s="10"/>
      <c r="DN119" s="10"/>
      <c r="DO119" s="238"/>
      <c r="DP119" s="14"/>
      <c r="DQ119" s="10"/>
      <c r="DR119" s="10"/>
      <c r="DS119" s="10"/>
      <c r="DT119" s="10"/>
      <c r="DU119" s="10"/>
      <c r="DV119" s="10"/>
      <c r="DW119" s="10"/>
      <c r="DX119" s="14"/>
      <c r="DY119" s="10"/>
      <c r="DZ119" s="10"/>
      <c r="EA119" s="10"/>
      <c r="EB119" s="10"/>
      <c r="EC119" s="10"/>
      <c r="ED119" s="10"/>
      <c r="EE119" s="238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238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238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238"/>
      <c r="FP119" s="14"/>
      <c r="FQ119" s="14"/>
      <c r="FR119" s="14"/>
      <c r="FS119" s="14"/>
      <c r="FT119" s="14"/>
      <c r="FU119" s="238"/>
      <c r="FV119" s="14"/>
      <c r="FW119" s="14"/>
      <c r="FX119" s="14"/>
      <c r="FY119" s="14"/>
      <c r="FZ119" s="14"/>
      <c r="GA119" s="120"/>
      <c r="GB119" s="122" t="str">
        <f t="shared" si="54"/>
        <v/>
      </c>
      <c r="GC119" s="140" t="str">
        <f t="shared" si="55"/>
        <v/>
      </c>
      <c r="GD119" s="122">
        <f t="shared" si="56"/>
        <v>0</v>
      </c>
      <c r="GE119" s="122">
        <f t="shared" si="57"/>
        <v>0</v>
      </c>
      <c r="GF119" s="122">
        <f t="shared" si="58"/>
        <v>0</v>
      </c>
      <c r="GG119" s="122">
        <f t="shared" si="59"/>
        <v>0</v>
      </c>
      <c r="GH119" s="122">
        <f t="shared" si="60"/>
        <v>0</v>
      </c>
      <c r="GI119" s="122">
        <f t="shared" si="61"/>
        <v>0</v>
      </c>
      <c r="GJ119" s="122">
        <f t="shared" si="62"/>
        <v>0</v>
      </c>
      <c r="GK119" s="122">
        <f t="shared" si="63"/>
        <v>0</v>
      </c>
      <c r="GL119" s="122">
        <f t="shared" si="64"/>
        <v>0</v>
      </c>
      <c r="GM119" s="122">
        <f t="shared" si="65"/>
        <v>0</v>
      </c>
      <c r="GN119" s="122">
        <f t="shared" si="66"/>
        <v>0</v>
      </c>
      <c r="GO119" s="122">
        <f t="shared" si="67"/>
        <v>0</v>
      </c>
      <c r="GP119" s="122">
        <f t="shared" si="68"/>
        <v>0</v>
      </c>
      <c r="GQ119" s="122">
        <f t="shared" si="69"/>
        <v>0</v>
      </c>
      <c r="GR119" s="122">
        <f t="shared" si="70"/>
        <v>0</v>
      </c>
      <c r="GS119" s="123">
        <f t="shared" si="71"/>
        <v>0</v>
      </c>
      <c r="GT119"/>
      <c r="GU119"/>
      <c r="GV119"/>
      <c r="GW119" s="124"/>
      <c r="GX119" s="118"/>
      <c r="GY119" s="118"/>
      <c r="GZ119" s="118"/>
      <c r="HA119" s="118"/>
      <c r="HB119" s="118"/>
      <c r="HC119" s="118"/>
      <c r="HD119" s="118"/>
      <c r="HE119" s="118"/>
      <c r="HF119" s="118"/>
      <c r="HG119" s="118"/>
      <c r="HH119" s="118"/>
      <c r="HI119" s="118"/>
      <c r="HJ119" s="118"/>
      <c r="HK119" s="118"/>
      <c r="HL119" s="118"/>
    </row>
    <row r="120" spans="1:220" s="74" customFormat="1" ht="30" hidden="1" customHeight="1" x14ac:dyDescent="0.35">
      <c r="A120" s="119">
        <v>111</v>
      </c>
      <c r="B120" s="3"/>
      <c r="C120" s="6"/>
      <c r="D120" s="3"/>
      <c r="E120" s="246"/>
      <c r="F120" s="8"/>
      <c r="G120" s="8"/>
      <c r="H120" s="8"/>
      <c r="I120" s="8"/>
      <c r="J120" s="8"/>
      <c r="K120" s="8"/>
      <c r="L120" s="8"/>
      <c r="M120" s="8"/>
      <c r="N120" s="8"/>
      <c r="O120" s="9"/>
      <c r="P120" s="238"/>
      <c r="Q120" s="12"/>
      <c r="R120" s="8"/>
      <c r="S120" s="8"/>
      <c r="T120" s="8"/>
      <c r="U120" s="8"/>
      <c r="V120" s="8"/>
      <c r="W120" s="8"/>
      <c r="X120" s="8"/>
      <c r="Y120" s="8"/>
      <c r="Z120" s="13"/>
      <c r="AA120" s="238"/>
      <c r="AB120" s="12"/>
      <c r="AC120" s="8"/>
      <c r="AD120" s="8"/>
      <c r="AE120" s="8"/>
      <c r="AF120" s="8"/>
      <c r="AG120" s="8"/>
      <c r="AH120" s="8"/>
      <c r="AI120" s="8"/>
      <c r="AJ120" s="8"/>
      <c r="AK120" s="13"/>
      <c r="AL120" s="238"/>
      <c r="AM120" s="12"/>
      <c r="AN120" s="8"/>
      <c r="AO120" s="8"/>
      <c r="AP120" s="8"/>
      <c r="AQ120" s="8"/>
      <c r="AR120" s="8"/>
      <c r="AS120" s="8"/>
      <c r="AT120" s="8"/>
      <c r="AU120" s="8"/>
      <c r="AV120" s="13"/>
      <c r="AW120" s="238"/>
      <c r="AX120" s="12"/>
      <c r="AY120" s="8"/>
      <c r="AZ120" s="8"/>
      <c r="BA120" s="8"/>
      <c r="BB120" s="8"/>
      <c r="BC120" s="8"/>
      <c r="BD120" s="8"/>
      <c r="BE120" s="8"/>
      <c r="BF120" s="8"/>
      <c r="BG120" s="13"/>
      <c r="BH120" s="238"/>
      <c r="BI120" s="12"/>
      <c r="BJ120" s="8"/>
      <c r="BK120" s="8"/>
      <c r="BL120" s="8"/>
      <c r="BM120" s="8"/>
      <c r="BN120" s="8"/>
      <c r="BO120" s="8"/>
      <c r="BP120" s="8"/>
      <c r="BQ120" s="8"/>
      <c r="BR120" s="13"/>
      <c r="BS120" s="238"/>
      <c r="BT120" s="12"/>
      <c r="BU120" s="8"/>
      <c r="BV120" s="8"/>
      <c r="BW120" s="8"/>
      <c r="BX120" s="8"/>
      <c r="BY120" s="8"/>
      <c r="BZ120" s="8"/>
      <c r="CA120" s="8"/>
      <c r="CB120" s="12"/>
      <c r="CC120" s="8"/>
      <c r="CD120" s="8"/>
      <c r="CE120" s="8"/>
      <c r="CF120" s="8"/>
      <c r="CG120" s="8"/>
      <c r="CH120" s="8"/>
      <c r="CI120" s="238"/>
      <c r="CJ120" s="12"/>
      <c r="CK120" s="8"/>
      <c r="CL120" s="8"/>
      <c r="CM120" s="8"/>
      <c r="CN120" s="8"/>
      <c r="CO120" s="8"/>
      <c r="CP120" s="8"/>
      <c r="CQ120" s="8"/>
      <c r="CR120" s="12"/>
      <c r="CS120" s="8"/>
      <c r="CT120" s="8"/>
      <c r="CU120" s="8"/>
      <c r="CV120" s="8"/>
      <c r="CW120" s="8"/>
      <c r="CX120" s="8"/>
      <c r="CY120" s="238"/>
      <c r="CZ120" s="12"/>
      <c r="DA120" s="8"/>
      <c r="DB120" s="8"/>
      <c r="DC120" s="8"/>
      <c r="DD120" s="8"/>
      <c r="DE120" s="8"/>
      <c r="DF120" s="8"/>
      <c r="DG120" s="8"/>
      <c r="DH120" s="12"/>
      <c r="DI120" s="8"/>
      <c r="DJ120" s="8"/>
      <c r="DK120" s="8"/>
      <c r="DL120" s="8"/>
      <c r="DM120" s="8"/>
      <c r="DN120" s="8"/>
      <c r="DO120" s="238"/>
      <c r="DP120" s="12"/>
      <c r="DQ120" s="8"/>
      <c r="DR120" s="8"/>
      <c r="DS120" s="8"/>
      <c r="DT120" s="8"/>
      <c r="DU120" s="8"/>
      <c r="DV120" s="8"/>
      <c r="DW120" s="8"/>
      <c r="DX120" s="12"/>
      <c r="DY120" s="8"/>
      <c r="DZ120" s="8"/>
      <c r="EA120" s="8"/>
      <c r="EB120" s="8"/>
      <c r="EC120" s="8"/>
      <c r="ED120" s="8"/>
      <c r="EE120" s="238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238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238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238"/>
      <c r="FP120" s="12"/>
      <c r="FQ120" s="12"/>
      <c r="FR120" s="12"/>
      <c r="FS120" s="12"/>
      <c r="FT120" s="12"/>
      <c r="FU120" s="238"/>
      <c r="FV120" s="12"/>
      <c r="FW120" s="12"/>
      <c r="FX120" s="12"/>
      <c r="FY120" s="12"/>
      <c r="FZ120" s="12"/>
      <c r="GA120" s="120"/>
      <c r="GB120" s="118" t="str">
        <f t="shared" si="54"/>
        <v/>
      </c>
      <c r="GC120" s="139" t="str">
        <f t="shared" si="55"/>
        <v/>
      </c>
      <c r="GD120" s="118">
        <f t="shared" si="56"/>
        <v>0</v>
      </c>
      <c r="GE120" s="118">
        <f t="shared" si="57"/>
        <v>0</v>
      </c>
      <c r="GF120" s="118">
        <f t="shared" si="58"/>
        <v>0</v>
      </c>
      <c r="GG120" s="118">
        <f t="shared" si="59"/>
        <v>0</v>
      </c>
      <c r="GH120" s="118">
        <f t="shared" si="60"/>
        <v>0</v>
      </c>
      <c r="GI120" s="118">
        <f t="shared" si="61"/>
        <v>0</v>
      </c>
      <c r="GJ120" s="118">
        <f t="shared" si="62"/>
        <v>0</v>
      </c>
      <c r="GK120" s="118">
        <f t="shared" si="63"/>
        <v>0</v>
      </c>
      <c r="GL120" s="118">
        <f t="shared" si="64"/>
        <v>0</v>
      </c>
      <c r="GM120" s="118">
        <f t="shared" si="65"/>
        <v>0</v>
      </c>
      <c r="GN120" s="118">
        <f t="shared" si="66"/>
        <v>0</v>
      </c>
      <c r="GO120" s="118">
        <f t="shared" si="67"/>
        <v>0</v>
      </c>
      <c r="GP120" s="118">
        <f t="shared" si="68"/>
        <v>0</v>
      </c>
      <c r="GQ120" s="118">
        <f t="shared" si="69"/>
        <v>0</v>
      </c>
      <c r="GR120" s="118">
        <f t="shared" si="70"/>
        <v>0</v>
      </c>
      <c r="GS120" s="121">
        <f t="shared" si="71"/>
        <v>0</v>
      </c>
      <c r="GT120"/>
      <c r="GU120"/>
      <c r="GV120"/>
      <c r="GW120" s="124"/>
      <c r="GX120" s="118"/>
      <c r="GY120" s="118"/>
      <c r="GZ120" s="118"/>
      <c r="HA120" s="118"/>
      <c r="HB120" s="118"/>
      <c r="HC120" s="118"/>
      <c r="HD120" s="118"/>
      <c r="HE120" s="118"/>
      <c r="HF120" s="118"/>
      <c r="HG120" s="118"/>
      <c r="HH120" s="118"/>
      <c r="HI120" s="118"/>
      <c r="HJ120" s="118"/>
      <c r="HK120" s="118"/>
      <c r="HL120" s="118"/>
    </row>
    <row r="121" spans="1:220" s="74" customFormat="1" ht="30" hidden="1" customHeight="1" x14ac:dyDescent="0.35">
      <c r="A121" s="119">
        <v>112</v>
      </c>
      <c r="B121" s="4"/>
      <c r="C121" s="7"/>
      <c r="D121" s="4"/>
      <c r="E121" s="246"/>
      <c r="F121" s="10"/>
      <c r="G121" s="10"/>
      <c r="H121" s="10"/>
      <c r="I121" s="10"/>
      <c r="J121" s="10"/>
      <c r="K121" s="10"/>
      <c r="L121" s="10"/>
      <c r="M121" s="10"/>
      <c r="N121" s="10"/>
      <c r="O121" s="11"/>
      <c r="P121" s="238"/>
      <c r="Q121" s="14"/>
      <c r="R121" s="10"/>
      <c r="S121" s="10"/>
      <c r="T121" s="10"/>
      <c r="U121" s="10"/>
      <c r="V121" s="10"/>
      <c r="W121" s="10"/>
      <c r="X121" s="10"/>
      <c r="Y121" s="10"/>
      <c r="Z121" s="15"/>
      <c r="AA121" s="238"/>
      <c r="AB121" s="14"/>
      <c r="AC121" s="10"/>
      <c r="AD121" s="10"/>
      <c r="AE121" s="10"/>
      <c r="AF121" s="10"/>
      <c r="AG121" s="10"/>
      <c r="AH121" s="10"/>
      <c r="AI121" s="10"/>
      <c r="AJ121" s="10"/>
      <c r="AK121" s="15"/>
      <c r="AL121" s="238"/>
      <c r="AM121" s="14"/>
      <c r="AN121" s="10"/>
      <c r="AO121" s="10"/>
      <c r="AP121" s="10"/>
      <c r="AQ121" s="10"/>
      <c r="AR121" s="10"/>
      <c r="AS121" s="10"/>
      <c r="AT121" s="10"/>
      <c r="AU121" s="10"/>
      <c r="AV121" s="15"/>
      <c r="AW121" s="238"/>
      <c r="AX121" s="14"/>
      <c r="AY121" s="10"/>
      <c r="AZ121" s="10"/>
      <c r="BA121" s="10"/>
      <c r="BB121" s="10"/>
      <c r="BC121" s="10"/>
      <c r="BD121" s="10"/>
      <c r="BE121" s="10"/>
      <c r="BF121" s="10"/>
      <c r="BG121" s="15"/>
      <c r="BH121" s="238"/>
      <c r="BI121" s="14"/>
      <c r="BJ121" s="10"/>
      <c r="BK121" s="10"/>
      <c r="BL121" s="10"/>
      <c r="BM121" s="10"/>
      <c r="BN121" s="10"/>
      <c r="BO121" s="10"/>
      <c r="BP121" s="10"/>
      <c r="BQ121" s="10"/>
      <c r="BR121" s="15"/>
      <c r="BS121" s="238"/>
      <c r="BT121" s="14"/>
      <c r="BU121" s="10"/>
      <c r="BV121" s="10"/>
      <c r="BW121" s="10"/>
      <c r="BX121" s="10"/>
      <c r="BY121" s="10"/>
      <c r="BZ121" s="10"/>
      <c r="CA121" s="10"/>
      <c r="CB121" s="14"/>
      <c r="CC121" s="10"/>
      <c r="CD121" s="10"/>
      <c r="CE121" s="10"/>
      <c r="CF121" s="10"/>
      <c r="CG121" s="10"/>
      <c r="CH121" s="10"/>
      <c r="CI121" s="238"/>
      <c r="CJ121" s="14"/>
      <c r="CK121" s="10"/>
      <c r="CL121" s="10"/>
      <c r="CM121" s="10"/>
      <c r="CN121" s="10"/>
      <c r="CO121" s="10"/>
      <c r="CP121" s="10"/>
      <c r="CQ121" s="10"/>
      <c r="CR121" s="14"/>
      <c r="CS121" s="10"/>
      <c r="CT121" s="10"/>
      <c r="CU121" s="10"/>
      <c r="CV121" s="10"/>
      <c r="CW121" s="10"/>
      <c r="CX121" s="10"/>
      <c r="CY121" s="238"/>
      <c r="CZ121" s="14"/>
      <c r="DA121" s="10"/>
      <c r="DB121" s="10"/>
      <c r="DC121" s="10"/>
      <c r="DD121" s="10"/>
      <c r="DE121" s="10"/>
      <c r="DF121" s="10"/>
      <c r="DG121" s="10"/>
      <c r="DH121" s="14"/>
      <c r="DI121" s="10"/>
      <c r="DJ121" s="10"/>
      <c r="DK121" s="10"/>
      <c r="DL121" s="10"/>
      <c r="DM121" s="10"/>
      <c r="DN121" s="10"/>
      <c r="DO121" s="238"/>
      <c r="DP121" s="14"/>
      <c r="DQ121" s="10"/>
      <c r="DR121" s="10"/>
      <c r="DS121" s="10"/>
      <c r="DT121" s="10"/>
      <c r="DU121" s="10"/>
      <c r="DV121" s="10"/>
      <c r="DW121" s="10"/>
      <c r="DX121" s="14"/>
      <c r="DY121" s="10"/>
      <c r="DZ121" s="10"/>
      <c r="EA121" s="10"/>
      <c r="EB121" s="10"/>
      <c r="EC121" s="10"/>
      <c r="ED121" s="10"/>
      <c r="EE121" s="238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238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/>
      <c r="FC121" s="238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238"/>
      <c r="FP121" s="14"/>
      <c r="FQ121" s="14"/>
      <c r="FR121" s="14"/>
      <c r="FS121" s="14"/>
      <c r="FT121" s="14"/>
      <c r="FU121" s="238"/>
      <c r="FV121" s="14"/>
      <c r="FW121" s="14"/>
      <c r="FX121" s="14"/>
      <c r="FY121" s="14"/>
      <c r="FZ121" s="14"/>
      <c r="GA121" s="120"/>
      <c r="GB121" s="122" t="str">
        <f t="shared" si="54"/>
        <v/>
      </c>
      <c r="GC121" s="140" t="str">
        <f t="shared" si="55"/>
        <v/>
      </c>
      <c r="GD121" s="122">
        <f t="shared" si="56"/>
        <v>0</v>
      </c>
      <c r="GE121" s="122">
        <f t="shared" si="57"/>
        <v>0</v>
      </c>
      <c r="GF121" s="122">
        <f t="shared" si="58"/>
        <v>0</v>
      </c>
      <c r="GG121" s="122">
        <f t="shared" si="59"/>
        <v>0</v>
      </c>
      <c r="GH121" s="122">
        <f t="shared" si="60"/>
        <v>0</v>
      </c>
      <c r="GI121" s="122">
        <f t="shared" si="61"/>
        <v>0</v>
      </c>
      <c r="GJ121" s="122">
        <f t="shared" si="62"/>
        <v>0</v>
      </c>
      <c r="GK121" s="122">
        <f t="shared" si="63"/>
        <v>0</v>
      </c>
      <c r="GL121" s="122">
        <f t="shared" si="64"/>
        <v>0</v>
      </c>
      <c r="GM121" s="122">
        <f t="shared" si="65"/>
        <v>0</v>
      </c>
      <c r="GN121" s="122">
        <f t="shared" si="66"/>
        <v>0</v>
      </c>
      <c r="GO121" s="122">
        <f t="shared" si="67"/>
        <v>0</v>
      </c>
      <c r="GP121" s="122">
        <f t="shared" si="68"/>
        <v>0</v>
      </c>
      <c r="GQ121" s="122">
        <f t="shared" si="69"/>
        <v>0</v>
      </c>
      <c r="GR121" s="122">
        <f t="shared" si="70"/>
        <v>0</v>
      </c>
      <c r="GS121" s="123">
        <f t="shared" si="71"/>
        <v>0</v>
      </c>
      <c r="GT121"/>
      <c r="GU121"/>
      <c r="GV121"/>
      <c r="GW121" s="124"/>
      <c r="GX121" s="118"/>
      <c r="GY121" s="118"/>
      <c r="GZ121" s="118"/>
      <c r="HA121" s="118"/>
      <c r="HB121" s="118"/>
      <c r="HC121" s="118"/>
      <c r="HD121" s="118"/>
      <c r="HE121" s="118"/>
      <c r="HF121" s="118"/>
      <c r="HG121" s="118"/>
      <c r="HH121" s="118"/>
      <c r="HI121" s="118"/>
      <c r="HJ121" s="118"/>
      <c r="HK121" s="118"/>
      <c r="HL121" s="118"/>
    </row>
    <row r="122" spans="1:220" s="74" customFormat="1" ht="30" hidden="1" customHeight="1" x14ac:dyDescent="0.35">
      <c r="A122" s="119">
        <v>113</v>
      </c>
      <c r="B122" s="3"/>
      <c r="C122" s="6"/>
      <c r="D122" s="3"/>
      <c r="E122" s="246"/>
      <c r="F122" s="8"/>
      <c r="G122" s="8"/>
      <c r="H122" s="8"/>
      <c r="I122" s="8"/>
      <c r="J122" s="8"/>
      <c r="K122" s="8"/>
      <c r="L122" s="8"/>
      <c r="M122" s="8"/>
      <c r="N122" s="8"/>
      <c r="O122" s="9"/>
      <c r="P122" s="238"/>
      <c r="Q122" s="12"/>
      <c r="R122" s="8"/>
      <c r="S122" s="8"/>
      <c r="T122" s="8"/>
      <c r="U122" s="8"/>
      <c r="V122" s="8"/>
      <c r="W122" s="8"/>
      <c r="X122" s="8"/>
      <c r="Y122" s="8"/>
      <c r="Z122" s="13"/>
      <c r="AA122" s="238"/>
      <c r="AB122" s="12"/>
      <c r="AC122" s="8"/>
      <c r="AD122" s="8"/>
      <c r="AE122" s="8"/>
      <c r="AF122" s="8"/>
      <c r="AG122" s="8"/>
      <c r="AH122" s="8"/>
      <c r="AI122" s="8"/>
      <c r="AJ122" s="8"/>
      <c r="AK122" s="13"/>
      <c r="AL122" s="238"/>
      <c r="AM122" s="12"/>
      <c r="AN122" s="8"/>
      <c r="AO122" s="8"/>
      <c r="AP122" s="8"/>
      <c r="AQ122" s="8"/>
      <c r="AR122" s="8"/>
      <c r="AS122" s="8"/>
      <c r="AT122" s="8"/>
      <c r="AU122" s="8"/>
      <c r="AV122" s="13"/>
      <c r="AW122" s="238"/>
      <c r="AX122" s="12"/>
      <c r="AY122" s="8"/>
      <c r="AZ122" s="8"/>
      <c r="BA122" s="8"/>
      <c r="BB122" s="8"/>
      <c r="BC122" s="8"/>
      <c r="BD122" s="8"/>
      <c r="BE122" s="8"/>
      <c r="BF122" s="8"/>
      <c r="BG122" s="13"/>
      <c r="BH122" s="238"/>
      <c r="BI122" s="12"/>
      <c r="BJ122" s="8"/>
      <c r="BK122" s="8"/>
      <c r="BL122" s="8"/>
      <c r="BM122" s="8"/>
      <c r="BN122" s="8"/>
      <c r="BO122" s="8"/>
      <c r="BP122" s="8"/>
      <c r="BQ122" s="8"/>
      <c r="BR122" s="13"/>
      <c r="BS122" s="238"/>
      <c r="BT122" s="12"/>
      <c r="BU122" s="8"/>
      <c r="BV122" s="8"/>
      <c r="BW122" s="8"/>
      <c r="BX122" s="8"/>
      <c r="BY122" s="8"/>
      <c r="BZ122" s="8"/>
      <c r="CA122" s="8"/>
      <c r="CB122" s="12"/>
      <c r="CC122" s="8"/>
      <c r="CD122" s="8"/>
      <c r="CE122" s="8"/>
      <c r="CF122" s="8"/>
      <c r="CG122" s="8"/>
      <c r="CH122" s="8"/>
      <c r="CI122" s="238"/>
      <c r="CJ122" s="12"/>
      <c r="CK122" s="8"/>
      <c r="CL122" s="8"/>
      <c r="CM122" s="8"/>
      <c r="CN122" s="8"/>
      <c r="CO122" s="8"/>
      <c r="CP122" s="8"/>
      <c r="CQ122" s="8"/>
      <c r="CR122" s="12"/>
      <c r="CS122" s="8"/>
      <c r="CT122" s="8"/>
      <c r="CU122" s="8"/>
      <c r="CV122" s="8"/>
      <c r="CW122" s="8"/>
      <c r="CX122" s="8"/>
      <c r="CY122" s="238"/>
      <c r="CZ122" s="12"/>
      <c r="DA122" s="8"/>
      <c r="DB122" s="8"/>
      <c r="DC122" s="8"/>
      <c r="DD122" s="8"/>
      <c r="DE122" s="8"/>
      <c r="DF122" s="8"/>
      <c r="DG122" s="8"/>
      <c r="DH122" s="12"/>
      <c r="DI122" s="8"/>
      <c r="DJ122" s="8"/>
      <c r="DK122" s="8"/>
      <c r="DL122" s="8"/>
      <c r="DM122" s="8"/>
      <c r="DN122" s="8"/>
      <c r="DO122" s="238"/>
      <c r="DP122" s="12"/>
      <c r="DQ122" s="8"/>
      <c r="DR122" s="8"/>
      <c r="DS122" s="8"/>
      <c r="DT122" s="8"/>
      <c r="DU122" s="8"/>
      <c r="DV122" s="8"/>
      <c r="DW122" s="8"/>
      <c r="DX122" s="12"/>
      <c r="DY122" s="8"/>
      <c r="DZ122" s="8"/>
      <c r="EA122" s="8"/>
      <c r="EB122" s="8"/>
      <c r="EC122" s="8"/>
      <c r="ED122" s="8"/>
      <c r="EE122" s="238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238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238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238"/>
      <c r="FP122" s="12"/>
      <c r="FQ122" s="12"/>
      <c r="FR122" s="12"/>
      <c r="FS122" s="12"/>
      <c r="FT122" s="12"/>
      <c r="FU122" s="238"/>
      <c r="FV122" s="12"/>
      <c r="FW122" s="12"/>
      <c r="FX122" s="12"/>
      <c r="FY122" s="12"/>
      <c r="FZ122" s="12"/>
      <c r="GA122" s="120"/>
      <c r="GB122" s="118" t="str">
        <f t="shared" si="54"/>
        <v/>
      </c>
      <c r="GC122" s="139" t="str">
        <f t="shared" si="55"/>
        <v/>
      </c>
      <c r="GD122" s="118">
        <f t="shared" si="56"/>
        <v>0</v>
      </c>
      <c r="GE122" s="118">
        <f t="shared" si="57"/>
        <v>0</v>
      </c>
      <c r="GF122" s="118">
        <f t="shared" si="58"/>
        <v>0</v>
      </c>
      <c r="GG122" s="118">
        <f t="shared" si="59"/>
        <v>0</v>
      </c>
      <c r="GH122" s="118">
        <f t="shared" si="60"/>
        <v>0</v>
      </c>
      <c r="GI122" s="118">
        <f t="shared" si="61"/>
        <v>0</v>
      </c>
      <c r="GJ122" s="118">
        <f t="shared" si="62"/>
        <v>0</v>
      </c>
      <c r="GK122" s="118">
        <f t="shared" si="63"/>
        <v>0</v>
      </c>
      <c r="GL122" s="118">
        <f t="shared" si="64"/>
        <v>0</v>
      </c>
      <c r="GM122" s="118">
        <f t="shared" si="65"/>
        <v>0</v>
      </c>
      <c r="GN122" s="118">
        <f t="shared" si="66"/>
        <v>0</v>
      </c>
      <c r="GO122" s="118">
        <f t="shared" si="67"/>
        <v>0</v>
      </c>
      <c r="GP122" s="118">
        <f t="shared" si="68"/>
        <v>0</v>
      </c>
      <c r="GQ122" s="118">
        <f t="shared" si="69"/>
        <v>0</v>
      </c>
      <c r="GR122" s="118">
        <f t="shared" si="70"/>
        <v>0</v>
      </c>
      <c r="GS122" s="121">
        <f t="shared" si="71"/>
        <v>0</v>
      </c>
      <c r="GT122"/>
      <c r="GU122"/>
      <c r="GV122"/>
      <c r="GW122" s="124"/>
      <c r="GX122" s="118"/>
      <c r="GY122" s="118"/>
      <c r="GZ122" s="118"/>
      <c r="HA122" s="118"/>
      <c r="HB122" s="118"/>
      <c r="HC122" s="118"/>
      <c r="HD122" s="118"/>
      <c r="HE122" s="118"/>
      <c r="HF122" s="118"/>
      <c r="HG122" s="118"/>
      <c r="HH122" s="118"/>
      <c r="HI122" s="118"/>
      <c r="HJ122" s="118"/>
      <c r="HK122" s="118"/>
      <c r="HL122" s="118"/>
    </row>
    <row r="123" spans="1:220" s="74" customFormat="1" ht="30" hidden="1" customHeight="1" x14ac:dyDescent="0.35">
      <c r="A123" s="119">
        <v>114</v>
      </c>
      <c r="B123" s="4"/>
      <c r="C123" s="7"/>
      <c r="D123" s="4"/>
      <c r="E123" s="246"/>
      <c r="F123" s="10"/>
      <c r="G123" s="10"/>
      <c r="H123" s="10"/>
      <c r="I123" s="10"/>
      <c r="J123" s="10"/>
      <c r="K123" s="10"/>
      <c r="L123" s="10"/>
      <c r="M123" s="10"/>
      <c r="N123" s="10"/>
      <c r="O123" s="11"/>
      <c r="P123" s="238"/>
      <c r="Q123" s="14"/>
      <c r="R123" s="10"/>
      <c r="S123" s="10"/>
      <c r="T123" s="10"/>
      <c r="U123" s="10"/>
      <c r="V123" s="10"/>
      <c r="W123" s="10"/>
      <c r="X123" s="10"/>
      <c r="Y123" s="10"/>
      <c r="Z123" s="15"/>
      <c r="AA123" s="238"/>
      <c r="AB123" s="14"/>
      <c r="AC123" s="10"/>
      <c r="AD123" s="10"/>
      <c r="AE123" s="10"/>
      <c r="AF123" s="10"/>
      <c r="AG123" s="10"/>
      <c r="AH123" s="10"/>
      <c r="AI123" s="10"/>
      <c r="AJ123" s="10"/>
      <c r="AK123" s="15"/>
      <c r="AL123" s="238"/>
      <c r="AM123" s="14"/>
      <c r="AN123" s="10"/>
      <c r="AO123" s="10"/>
      <c r="AP123" s="10"/>
      <c r="AQ123" s="10"/>
      <c r="AR123" s="10"/>
      <c r="AS123" s="10"/>
      <c r="AT123" s="10"/>
      <c r="AU123" s="10"/>
      <c r="AV123" s="15"/>
      <c r="AW123" s="238"/>
      <c r="AX123" s="14"/>
      <c r="AY123" s="10"/>
      <c r="AZ123" s="10"/>
      <c r="BA123" s="10"/>
      <c r="BB123" s="10"/>
      <c r="BC123" s="10"/>
      <c r="BD123" s="10"/>
      <c r="BE123" s="10"/>
      <c r="BF123" s="10"/>
      <c r="BG123" s="15"/>
      <c r="BH123" s="238"/>
      <c r="BI123" s="14"/>
      <c r="BJ123" s="10"/>
      <c r="BK123" s="10"/>
      <c r="BL123" s="10"/>
      <c r="BM123" s="10"/>
      <c r="BN123" s="10"/>
      <c r="BO123" s="10"/>
      <c r="BP123" s="10"/>
      <c r="BQ123" s="10"/>
      <c r="BR123" s="15"/>
      <c r="BS123" s="238"/>
      <c r="BT123" s="14"/>
      <c r="BU123" s="10"/>
      <c r="BV123" s="10"/>
      <c r="BW123" s="10"/>
      <c r="BX123" s="10"/>
      <c r="BY123" s="10"/>
      <c r="BZ123" s="10"/>
      <c r="CA123" s="10"/>
      <c r="CB123" s="14"/>
      <c r="CC123" s="10"/>
      <c r="CD123" s="10"/>
      <c r="CE123" s="10"/>
      <c r="CF123" s="10"/>
      <c r="CG123" s="10"/>
      <c r="CH123" s="10"/>
      <c r="CI123" s="238"/>
      <c r="CJ123" s="14"/>
      <c r="CK123" s="10"/>
      <c r="CL123" s="10"/>
      <c r="CM123" s="10"/>
      <c r="CN123" s="10"/>
      <c r="CO123" s="10"/>
      <c r="CP123" s="10"/>
      <c r="CQ123" s="10"/>
      <c r="CR123" s="14"/>
      <c r="CS123" s="10"/>
      <c r="CT123" s="10"/>
      <c r="CU123" s="10"/>
      <c r="CV123" s="10"/>
      <c r="CW123" s="10"/>
      <c r="CX123" s="10"/>
      <c r="CY123" s="238"/>
      <c r="CZ123" s="14"/>
      <c r="DA123" s="10"/>
      <c r="DB123" s="10"/>
      <c r="DC123" s="10"/>
      <c r="DD123" s="10"/>
      <c r="DE123" s="10"/>
      <c r="DF123" s="10"/>
      <c r="DG123" s="10"/>
      <c r="DH123" s="14"/>
      <c r="DI123" s="10"/>
      <c r="DJ123" s="10"/>
      <c r="DK123" s="10"/>
      <c r="DL123" s="10"/>
      <c r="DM123" s="10"/>
      <c r="DN123" s="10"/>
      <c r="DO123" s="238"/>
      <c r="DP123" s="14"/>
      <c r="DQ123" s="10"/>
      <c r="DR123" s="10"/>
      <c r="DS123" s="10"/>
      <c r="DT123" s="10"/>
      <c r="DU123" s="10"/>
      <c r="DV123" s="10"/>
      <c r="DW123" s="10"/>
      <c r="DX123" s="14"/>
      <c r="DY123" s="10"/>
      <c r="DZ123" s="10"/>
      <c r="EA123" s="10"/>
      <c r="EB123" s="10"/>
      <c r="EC123" s="10"/>
      <c r="ED123" s="10"/>
      <c r="EE123" s="238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238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238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238"/>
      <c r="FP123" s="14"/>
      <c r="FQ123" s="14"/>
      <c r="FR123" s="14"/>
      <c r="FS123" s="14"/>
      <c r="FT123" s="14"/>
      <c r="FU123" s="238"/>
      <c r="FV123" s="14"/>
      <c r="FW123" s="14"/>
      <c r="FX123" s="14"/>
      <c r="FY123" s="14"/>
      <c r="FZ123" s="14"/>
      <c r="GA123" s="120"/>
      <c r="GB123" s="122" t="str">
        <f t="shared" si="54"/>
        <v/>
      </c>
      <c r="GC123" s="140" t="str">
        <f t="shared" si="55"/>
        <v/>
      </c>
      <c r="GD123" s="122">
        <f t="shared" si="56"/>
        <v>0</v>
      </c>
      <c r="GE123" s="122">
        <f t="shared" si="57"/>
        <v>0</v>
      </c>
      <c r="GF123" s="122">
        <f t="shared" si="58"/>
        <v>0</v>
      </c>
      <c r="GG123" s="122">
        <f t="shared" si="59"/>
        <v>0</v>
      </c>
      <c r="GH123" s="122">
        <f t="shared" si="60"/>
        <v>0</v>
      </c>
      <c r="GI123" s="122">
        <f t="shared" si="61"/>
        <v>0</v>
      </c>
      <c r="GJ123" s="122">
        <f t="shared" si="62"/>
        <v>0</v>
      </c>
      <c r="GK123" s="122">
        <f t="shared" si="63"/>
        <v>0</v>
      </c>
      <c r="GL123" s="122">
        <f t="shared" si="64"/>
        <v>0</v>
      </c>
      <c r="GM123" s="122">
        <f t="shared" si="65"/>
        <v>0</v>
      </c>
      <c r="GN123" s="122">
        <f t="shared" si="66"/>
        <v>0</v>
      </c>
      <c r="GO123" s="122">
        <f t="shared" si="67"/>
        <v>0</v>
      </c>
      <c r="GP123" s="122">
        <f t="shared" si="68"/>
        <v>0</v>
      </c>
      <c r="GQ123" s="122">
        <f t="shared" si="69"/>
        <v>0</v>
      </c>
      <c r="GR123" s="122">
        <f t="shared" si="70"/>
        <v>0</v>
      </c>
      <c r="GS123" s="123">
        <f t="shared" si="71"/>
        <v>0</v>
      </c>
      <c r="GT123"/>
      <c r="GU123"/>
      <c r="GV123"/>
      <c r="GW123" s="124"/>
      <c r="GX123" s="118"/>
      <c r="GY123" s="118"/>
      <c r="GZ123" s="118"/>
      <c r="HA123" s="118"/>
      <c r="HB123" s="118"/>
      <c r="HC123" s="118"/>
      <c r="HD123" s="118"/>
      <c r="HE123" s="118"/>
      <c r="HF123" s="118"/>
      <c r="HG123" s="118"/>
      <c r="HH123" s="118"/>
      <c r="HI123" s="118"/>
      <c r="HJ123" s="118"/>
      <c r="HK123" s="118"/>
      <c r="HL123" s="118"/>
    </row>
    <row r="124" spans="1:220" s="74" customFormat="1" ht="30" hidden="1" customHeight="1" x14ac:dyDescent="0.35">
      <c r="A124" s="119">
        <v>115</v>
      </c>
      <c r="B124" s="3"/>
      <c r="C124" s="6"/>
      <c r="D124" s="3"/>
      <c r="E124" s="246"/>
      <c r="F124" s="8"/>
      <c r="G124" s="8"/>
      <c r="H124" s="8"/>
      <c r="I124" s="8"/>
      <c r="J124" s="8"/>
      <c r="K124" s="8"/>
      <c r="L124" s="8"/>
      <c r="M124" s="8"/>
      <c r="N124" s="8"/>
      <c r="O124" s="9"/>
      <c r="P124" s="238"/>
      <c r="Q124" s="12"/>
      <c r="R124" s="8"/>
      <c r="S124" s="8"/>
      <c r="T124" s="8"/>
      <c r="U124" s="8"/>
      <c r="V124" s="8"/>
      <c r="W124" s="8"/>
      <c r="X124" s="8"/>
      <c r="Y124" s="8"/>
      <c r="Z124" s="13"/>
      <c r="AA124" s="238"/>
      <c r="AB124" s="12"/>
      <c r="AC124" s="8"/>
      <c r="AD124" s="8"/>
      <c r="AE124" s="8"/>
      <c r="AF124" s="8"/>
      <c r="AG124" s="8"/>
      <c r="AH124" s="8"/>
      <c r="AI124" s="8"/>
      <c r="AJ124" s="8"/>
      <c r="AK124" s="13"/>
      <c r="AL124" s="238"/>
      <c r="AM124" s="12"/>
      <c r="AN124" s="8"/>
      <c r="AO124" s="8"/>
      <c r="AP124" s="8"/>
      <c r="AQ124" s="8"/>
      <c r="AR124" s="8"/>
      <c r="AS124" s="8"/>
      <c r="AT124" s="8"/>
      <c r="AU124" s="8"/>
      <c r="AV124" s="13"/>
      <c r="AW124" s="238"/>
      <c r="AX124" s="12"/>
      <c r="AY124" s="8"/>
      <c r="AZ124" s="8"/>
      <c r="BA124" s="8"/>
      <c r="BB124" s="8"/>
      <c r="BC124" s="8"/>
      <c r="BD124" s="8"/>
      <c r="BE124" s="8"/>
      <c r="BF124" s="8"/>
      <c r="BG124" s="13"/>
      <c r="BH124" s="238"/>
      <c r="BI124" s="12"/>
      <c r="BJ124" s="8"/>
      <c r="BK124" s="8"/>
      <c r="BL124" s="8"/>
      <c r="BM124" s="8"/>
      <c r="BN124" s="8"/>
      <c r="BO124" s="8"/>
      <c r="BP124" s="8"/>
      <c r="BQ124" s="8"/>
      <c r="BR124" s="13"/>
      <c r="BS124" s="238"/>
      <c r="BT124" s="12"/>
      <c r="BU124" s="8"/>
      <c r="BV124" s="8"/>
      <c r="BW124" s="8"/>
      <c r="BX124" s="8"/>
      <c r="BY124" s="8"/>
      <c r="BZ124" s="8"/>
      <c r="CA124" s="8"/>
      <c r="CB124" s="12"/>
      <c r="CC124" s="8"/>
      <c r="CD124" s="8"/>
      <c r="CE124" s="8"/>
      <c r="CF124" s="8"/>
      <c r="CG124" s="8"/>
      <c r="CH124" s="8"/>
      <c r="CI124" s="238"/>
      <c r="CJ124" s="12"/>
      <c r="CK124" s="8"/>
      <c r="CL124" s="8"/>
      <c r="CM124" s="8"/>
      <c r="CN124" s="8"/>
      <c r="CO124" s="8"/>
      <c r="CP124" s="8"/>
      <c r="CQ124" s="8"/>
      <c r="CR124" s="12"/>
      <c r="CS124" s="8"/>
      <c r="CT124" s="8"/>
      <c r="CU124" s="8"/>
      <c r="CV124" s="8"/>
      <c r="CW124" s="8"/>
      <c r="CX124" s="8"/>
      <c r="CY124" s="238"/>
      <c r="CZ124" s="12"/>
      <c r="DA124" s="8"/>
      <c r="DB124" s="8"/>
      <c r="DC124" s="8"/>
      <c r="DD124" s="8"/>
      <c r="DE124" s="8"/>
      <c r="DF124" s="8"/>
      <c r="DG124" s="8"/>
      <c r="DH124" s="12"/>
      <c r="DI124" s="8"/>
      <c r="DJ124" s="8"/>
      <c r="DK124" s="8"/>
      <c r="DL124" s="8"/>
      <c r="DM124" s="8"/>
      <c r="DN124" s="8"/>
      <c r="DO124" s="238"/>
      <c r="DP124" s="12"/>
      <c r="DQ124" s="8"/>
      <c r="DR124" s="8"/>
      <c r="DS124" s="8"/>
      <c r="DT124" s="8"/>
      <c r="DU124" s="8"/>
      <c r="DV124" s="8"/>
      <c r="DW124" s="8"/>
      <c r="DX124" s="12"/>
      <c r="DY124" s="8"/>
      <c r="DZ124" s="8"/>
      <c r="EA124" s="8"/>
      <c r="EB124" s="8"/>
      <c r="EC124" s="8"/>
      <c r="ED124" s="8"/>
      <c r="EE124" s="238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238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238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238"/>
      <c r="FP124" s="12"/>
      <c r="FQ124" s="12"/>
      <c r="FR124" s="12"/>
      <c r="FS124" s="12"/>
      <c r="FT124" s="12"/>
      <c r="FU124" s="238"/>
      <c r="FV124" s="12"/>
      <c r="FW124" s="12"/>
      <c r="FX124" s="12"/>
      <c r="FY124" s="12"/>
      <c r="FZ124" s="12"/>
      <c r="GA124" s="120"/>
      <c r="GB124" s="118" t="str">
        <f t="shared" si="54"/>
        <v/>
      </c>
      <c r="GC124" s="139" t="str">
        <f t="shared" si="55"/>
        <v/>
      </c>
      <c r="GD124" s="118">
        <f t="shared" si="56"/>
        <v>0</v>
      </c>
      <c r="GE124" s="118">
        <f t="shared" si="57"/>
        <v>0</v>
      </c>
      <c r="GF124" s="118">
        <f t="shared" si="58"/>
        <v>0</v>
      </c>
      <c r="GG124" s="118">
        <f t="shared" si="59"/>
        <v>0</v>
      </c>
      <c r="GH124" s="118">
        <f t="shared" si="60"/>
        <v>0</v>
      </c>
      <c r="GI124" s="118">
        <f t="shared" si="61"/>
        <v>0</v>
      </c>
      <c r="GJ124" s="118">
        <f t="shared" si="62"/>
        <v>0</v>
      </c>
      <c r="GK124" s="118">
        <f t="shared" si="63"/>
        <v>0</v>
      </c>
      <c r="GL124" s="118">
        <f t="shared" si="64"/>
        <v>0</v>
      </c>
      <c r="GM124" s="118">
        <f t="shared" si="65"/>
        <v>0</v>
      </c>
      <c r="GN124" s="118">
        <f t="shared" si="66"/>
        <v>0</v>
      </c>
      <c r="GO124" s="118">
        <f t="shared" si="67"/>
        <v>0</v>
      </c>
      <c r="GP124" s="118">
        <f t="shared" si="68"/>
        <v>0</v>
      </c>
      <c r="GQ124" s="118">
        <f t="shared" si="69"/>
        <v>0</v>
      </c>
      <c r="GR124" s="118">
        <f t="shared" si="70"/>
        <v>0</v>
      </c>
      <c r="GS124" s="121">
        <f t="shared" si="71"/>
        <v>0</v>
      </c>
      <c r="GT124"/>
      <c r="GU124"/>
      <c r="GV124"/>
      <c r="GW124" s="124"/>
      <c r="GX124" s="118"/>
      <c r="GY124" s="118"/>
      <c r="GZ124" s="118"/>
      <c r="HA124" s="118"/>
      <c r="HB124" s="118"/>
      <c r="HC124" s="118"/>
      <c r="HD124" s="118"/>
      <c r="HE124" s="118"/>
      <c r="HF124" s="118"/>
      <c r="HG124" s="118"/>
      <c r="HH124" s="118"/>
      <c r="HI124" s="118"/>
      <c r="HJ124" s="118"/>
      <c r="HK124" s="118"/>
      <c r="HL124" s="118"/>
    </row>
    <row r="125" spans="1:220" s="74" customFormat="1" ht="30" hidden="1" customHeight="1" x14ac:dyDescent="0.35">
      <c r="A125" s="119">
        <v>116</v>
      </c>
      <c r="B125" s="4"/>
      <c r="C125" s="7"/>
      <c r="D125" s="4"/>
      <c r="E125" s="246"/>
      <c r="F125" s="10"/>
      <c r="G125" s="10"/>
      <c r="H125" s="10"/>
      <c r="I125" s="10"/>
      <c r="J125" s="10"/>
      <c r="K125" s="10"/>
      <c r="L125" s="10"/>
      <c r="M125" s="10"/>
      <c r="N125" s="10"/>
      <c r="O125" s="11"/>
      <c r="P125" s="238"/>
      <c r="Q125" s="14"/>
      <c r="R125" s="10"/>
      <c r="S125" s="10"/>
      <c r="T125" s="10"/>
      <c r="U125" s="10"/>
      <c r="V125" s="10"/>
      <c r="W125" s="10"/>
      <c r="X125" s="10"/>
      <c r="Y125" s="10"/>
      <c r="Z125" s="15"/>
      <c r="AA125" s="238"/>
      <c r="AB125" s="14"/>
      <c r="AC125" s="10"/>
      <c r="AD125" s="10"/>
      <c r="AE125" s="10"/>
      <c r="AF125" s="10"/>
      <c r="AG125" s="10"/>
      <c r="AH125" s="10"/>
      <c r="AI125" s="10"/>
      <c r="AJ125" s="10"/>
      <c r="AK125" s="15"/>
      <c r="AL125" s="238"/>
      <c r="AM125" s="14"/>
      <c r="AN125" s="10"/>
      <c r="AO125" s="10"/>
      <c r="AP125" s="10"/>
      <c r="AQ125" s="10"/>
      <c r="AR125" s="10"/>
      <c r="AS125" s="10"/>
      <c r="AT125" s="10"/>
      <c r="AU125" s="10"/>
      <c r="AV125" s="15"/>
      <c r="AW125" s="238"/>
      <c r="AX125" s="14"/>
      <c r="AY125" s="10"/>
      <c r="AZ125" s="10"/>
      <c r="BA125" s="10"/>
      <c r="BB125" s="10"/>
      <c r="BC125" s="10"/>
      <c r="BD125" s="10"/>
      <c r="BE125" s="10"/>
      <c r="BF125" s="10"/>
      <c r="BG125" s="15"/>
      <c r="BH125" s="238"/>
      <c r="BI125" s="14"/>
      <c r="BJ125" s="10"/>
      <c r="BK125" s="10"/>
      <c r="BL125" s="10"/>
      <c r="BM125" s="10"/>
      <c r="BN125" s="10"/>
      <c r="BO125" s="10"/>
      <c r="BP125" s="10"/>
      <c r="BQ125" s="10"/>
      <c r="BR125" s="15"/>
      <c r="BS125" s="238"/>
      <c r="BT125" s="14"/>
      <c r="BU125" s="10"/>
      <c r="BV125" s="10"/>
      <c r="BW125" s="10"/>
      <c r="BX125" s="10"/>
      <c r="BY125" s="10"/>
      <c r="BZ125" s="10"/>
      <c r="CA125" s="10"/>
      <c r="CB125" s="14"/>
      <c r="CC125" s="10"/>
      <c r="CD125" s="10"/>
      <c r="CE125" s="10"/>
      <c r="CF125" s="10"/>
      <c r="CG125" s="10"/>
      <c r="CH125" s="10"/>
      <c r="CI125" s="238"/>
      <c r="CJ125" s="14"/>
      <c r="CK125" s="10"/>
      <c r="CL125" s="10"/>
      <c r="CM125" s="10"/>
      <c r="CN125" s="10"/>
      <c r="CO125" s="10"/>
      <c r="CP125" s="10"/>
      <c r="CQ125" s="10"/>
      <c r="CR125" s="14"/>
      <c r="CS125" s="10"/>
      <c r="CT125" s="10"/>
      <c r="CU125" s="10"/>
      <c r="CV125" s="10"/>
      <c r="CW125" s="10"/>
      <c r="CX125" s="10"/>
      <c r="CY125" s="238"/>
      <c r="CZ125" s="14"/>
      <c r="DA125" s="10"/>
      <c r="DB125" s="10"/>
      <c r="DC125" s="10"/>
      <c r="DD125" s="10"/>
      <c r="DE125" s="10"/>
      <c r="DF125" s="10"/>
      <c r="DG125" s="10"/>
      <c r="DH125" s="14"/>
      <c r="DI125" s="10"/>
      <c r="DJ125" s="10"/>
      <c r="DK125" s="10"/>
      <c r="DL125" s="10"/>
      <c r="DM125" s="10"/>
      <c r="DN125" s="10"/>
      <c r="DO125" s="238"/>
      <c r="DP125" s="14"/>
      <c r="DQ125" s="10"/>
      <c r="DR125" s="10"/>
      <c r="DS125" s="10"/>
      <c r="DT125" s="10"/>
      <c r="DU125" s="10"/>
      <c r="DV125" s="10"/>
      <c r="DW125" s="10"/>
      <c r="DX125" s="14"/>
      <c r="DY125" s="10"/>
      <c r="DZ125" s="10"/>
      <c r="EA125" s="10"/>
      <c r="EB125" s="10"/>
      <c r="EC125" s="10"/>
      <c r="ED125" s="10"/>
      <c r="EE125" s="238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238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238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238"/>
      <c r="FP125" s="14"/>
      <c r="FQ125" s="14"/>
      <c r="FR125" s="14"/>
      <c r="FS125" s="14"/>
      <c r="FT125" s="14"/>
      <c r="FU125" s="238"/>
      <c r="FV125" s="14"/>
      <c r="FW125" s="14"/>
      <c r="FX125" s="14"/>
      <c r="FY125" s="14"/>
      <c r="FZ125" s="14"/>
      <c r="GA125" s="120"/>
      <c r="GB125" s="122" t="str">
        <f t="shared" si="54"/>
        <v/>
      </c>
      <c r="GC125" s="140" t="str">
        <f t="shared" si="55"/>
        <v/>
      </c>
      <c r="GD125" s="122">
        <f t="shared" si="56"/>
        <v>0</v>
      </c>
      <c r="GE125" s="122">
        <f t="shared" si="57"/>
        <v>0</v>
      </c>
      <c r="GF125" s="122">
        <f t="shared" si="58"/>
        <v>0</v>
      </c>
      <c r="GG125" s="122">
        <f t="shared" si="59"/>
        <v>0</v>
      </c>
      <c r="GH125" s="122">
        <f t="shared" si="60"/>
        <v>0</v>
      </c>
      <c r="GI125" s="122">
        <f t="shared" si="61"/>
        <v>0</v>
      </c>
      <c r="GJ125" s="122">
        <f t="shared" si="62"/>
        <v>0</v>
      </c>
      <c r="GK125" s="122">
        <f t="shared" si="63"/>
        <v>0</v>
      </c>
      <c r="GL125" s="122">
        <f t="shared" si="64"/>
        <v>0</v>
      </c>
      <c r="GM125" s="122">
        <f t="shared" si="65"/>
        <v>0</v>
      </c>
      <c r="GN125" s="122">
        <f t="shared" si="66"/>
        <v>0</v>
      </c>
      <c r="GO125" s="122">
        <f t="shared" si="67"/>
        <v>0</v>
      </c>
      <c r="GP125" s="122">
        <f t="shared" si="68"/>
        <v>0</v>
      </c>
      <c r="GQ125" s="122">
        <f t="shared" si="69"/>
        <v>0</v>
      </c>
      <c r="GR125" s="122">
        <f t="shared" si="70"/>
        <v>0</v>
      </c>
      <c r="GS125" s="123">
        <f t="shared" si="71"/>
        <v>0</v>
      </c>
      <c r="GT125"/>
      <c r="GU125"/>
      <c r="GV125"/>
      <c r="GW125" s="124"/>
      <c r="GX125" s="118"/>
      <c r="GY125" s="118"/>
      <c r="GZ125" s="118"/>
      <c r="HA125" s="118"/>
      <c r="HB125" s="118"/>
      <c r="HC125" s="118"/>
      <c r="HD125" s="118"/>
      <c r="HE125" s="118"/>
      <c r="HF125" s="118"/>
      <c r="HG125" s="118"/>
      <c r="HH125" s="118"/>
      <c r="HI125" s="118"/>
      <c r="HJ125" s="118"/>
      <c r="HK125" s="118"/>
      <c r="HL125" s="118"/>
    </row>
    <row r="126" spans="1:220" s="74" customFormat="1" ht="30" hidden="1" customHeight="1" x14ac:dyDescent="0.35">
      <c r="A126" s="119">
        <v>117</v>
      </c>
      <c r="B126" s="3"/>
      <c r="C126" s="6"/>
      <c r="D126" s="3"/>
      <c r="E126" s="246"/>
      <c r="F126" s="8"/>
      <c r="G126" s="8"/>
      <c r="H126" s="8"/>
      <c r="I126" s="8"/>
      <c r="J126" s="8"/>
      <c r="K126" s="8"/>
      <c r="L126" s="8"/>
      <c r="M126" s="8"/>
      <c r="N126" s="8"/>
      <c r="O126" s="9"/>
      <c r="P126" s="238"/>
      <c r="Q126" s="12"/>
      <c r="R126" s="8"/>
      <c r="S126" s="8"/>
      <c r="T126" s="8"/>
      <c r="U126" s="8"/>
      <c r="V126" s="8"/>
      <c r="W126" s="8"/>
      <c r="X126" s="8"/>
      <c r="Y126" s="8"/>
      <c r="Z126" s="13"/>
      <c r="AA126" s="238"/>
      <c r="AB126" s="12"/>
      <c r="AC126" s="8"/>
      <c r="AD126" s="8"/>
      <c r="AE126" s="8"/>
      <c r="AF126" s="8"/>
      <c r="AG126" s="8"/>
      <c r="AH126" s="8"/>
      <c r="AI126" s="8"/>
      <c r="AJ126" s="8"/>
      <c r="AK126" s="13"/>
      <c r="AL126" s="238"/>
      <c r="AM126" s="12"/>
      <c r="AN126" s="8"/>
      <c r="AO126" s="8"/>
      <c r="AP126" s="8"/>
      <c r="AQ126" s="8"/>
      <c r="AR126" s="8"/>
      <c r="AS126" s="8"/>
      <c r="AT126" s="8"/>
      <c r="AU126" s="8"/>
      <c r="AV126" s="13"/>
      <c r="AW126" s="238"/>
      <c r="AX126" s="12"/>
      <c r="AY126" s="8"/>
      <c r="AZ126" s="8"/>
      <c r="BA126" s="8"/>
      <c r="BB126" s="8"/>
      <c r="BC126" s="8"/>
      <c r="BD126" s="8"/>
      <c r="BE126" s="8"/>
      <c r="BF126" s="8"/>
      <c r="BG126" s="13"/>
      <c r="BH126" s="238"/>
      <c r="BI126" s="12"/>
      <c r="BJ126" s="8"/>
      <c r="BK126" s="8"/>
      <c r="BL126" s="8"/>
      <c r="BM126" s="8"/>
      <c r="BN126" s="8"/>
      <c r="BO126" s="8"/>
      <c r="BP126" s="8"/>
      <c r="BQ126" s="8"/>
      <c r="BR126" s="13"/>
      <c r="BS126" s="238"/>
      <c r="BT126" s="12"/>
      <c r="BU126" s="8"/>
      <c r="BV126" s="8"/>
      <c r="BW126" s="8"/>
      <c r="BX126" s="8"/>
      <c r="BY126" s="8"/>
      <c r="BZ126" s="8"/>
      <c r="CA126" s="8"/>
      <c r="CB126" s="12"/>
      <c r="CC126" s="8"/>
      <c r="CD126" s="8"/>
      <c r="CE126" s="8"/>
      <c r="CF126" s="8"/>
      <c r="CG126" s="8"/>
      <c r="CH126" s="8"/>
      <c r="CI126" s="238"/>
      <c r="CJ126" s="12"/>
      <c r="CK126" s="8"/>
      <c r="CL126" s="8"/>
      <c r="CM126" s="8"/>
      <c r="CN126" s="8"/>
      <c r="CO126" s="8"/>
      <c r="CP126" s="8"/>
      <c r="CQ126" s="8"/>
      <c r="CR126" s="12"/>
      <c r="CS126" s="8"/>
      <c r="CT126" s="8"/>
      <c r="CU126" s="8"/>
      <c r="CV126" s="8"/>
      <c r="CW126" s="8"/>
      <c r="CX126" s="8"/>
      <c r="CY126" s="238"/>
      <c r="CZ126" s="12"/>
      <c r="DA126" s="8"/>
      <c r="DB126" s="8"/>
      <c r="DC126" s="8"/>
      <c r="DD126" s="8"/>
      <c r="DE126" s="8"/>
      <c r="DF126" s="8"/>
      <c r="DG126" s="8"/>
      <c r="DH126" s="12"/>
      <c r="DI126" s="8"/>
      <c r="DJ126" s="8"/>
      <c r="DK126" s="8"/>
      <c r="DL126" s="8"/>
      <c r="DM126" s="8"/>
      <c r="DN126" s="8"/>
      <c r="DO126" s="238"/>
      <c r="DP126" s="12"/>
      <c r="DQ126" s="8"/>
      <c r="DR126" s="8"/>
      <c r="DS126" s="8"/>
      <c r="DT126" s="8"/>
      <c r="DU126" s="8"/>
      <c r="DV126" s="8"/>
      <c r="DW126" s="8"/>
      <c r="DX126" s="12"/>
      <c r="DY126" s="8"/>
      <c r="DZ126" s="8"/>
      <c r="EA126" s="8"/>
      <c r="EB126" s="8"/>
      <c r="EC126" s="8"/>
      <c r="ED126" s="8"/>
      <c r="EE126" s="238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238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238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238"/>
      <c r="FP126" s="12"/>
      <c r="FQ126" s="12"/>
      <c r="FR126" s="12"/>
      <c r="FS126" s="12"/>
      <c r="FT126" s="12"/>
      <c r="FU126" s="238"/>
      <c r="FV126" s="12"/>
      <c r="FW126" s="12"/>
      <c r="FX126" s="12"/>
      <c r="FY126" s="12"/>
      <c r="FZ126" s="12"/>
      <c r="GA126" s="120"/>
      <c r="GB126" s="118" t="str">
        <f t="shared" si="54"/>
        <v/>
      </c>
      <c r="GC126" s="139" t="str">
        <f t="shared" si="55"/>
        <v/>
      </c>
      <c r="GD126" s="118">
        <f t="shared" si="56"/>
        <v>0</v>
      </c>
      <c r="GE126" s="118">
        <f t="shared" si="57"/>
        <v>0</v>
      </c>
      <c r="GF126" s="118">
        <f t="shared" si="58"/>
        <v>0</v>
      </c>
      <c r="GG126" s="118">
        <f t="shared" si="59"/>
        <v>0</v>
      </c>
      <c r="GH126" s="118">
        <f t="shared" si="60"/>
        <v>0</v>
      </c>
      <c r="GI126" s="118">
        <f t="shared" si="61"/>
        <v>0</v>
      </c>
      <c r="GJ126" s="118">
        <f t="shared" si="62"/>
        <v>0</v>
      </c>
      <c r="GK126" s="118">
        <f t="shared" si="63"/>
        <v>0</v>
      </c>
      <c r="GL126" s="118">
        <f t="shared" si="64"/>
        <v>0</v>
      </c>
      <c r="GM126" s="118">
        <f t="shared" si="65"/>
        <v>0</v>
      </c>
      <c r="GN126" s="118">
        <f t="shared" si="66"/>
        <v>0</v>
      </c>
      <c r="GO126" s="118">
        <f t="shared" si="67"/>
        <v>0</v>
      </c>
      <c r="GP126" s="118">
        <f t="shared" si="68"/>
        <v>0</v>
      </c>
      <c r="GQ126" s="118">
        <f t="shared" si="69"/>
        <v>0</v>
      </c>
      <c r="GR126" s="118">
        <f t="shared" si="70"/>
        <v>0</v>
      </c>
      <c r="GS126" s="121">
        <f t="shared" si="71"/>
        <v>0</v>
      </c>
      <c r="GT126"/>
      <c r="GU126"/>
      <c r="GV126"/>
      <c r="GW126" s="124"/>
      <c r="GX126" s="118"/>
      <c r="GY126" s="118"/>
      <c r="GZ126" s="118"/>
      <c r="HA126" s="118"/>
      <c r="HB126" s="118"/>
      <c r="HC126" s="118"/>
      <c r="HD126" s="118"/>
      <c r="HE126" s="118"/>
      <c r="HF126" s="118"/>
      <c r="HG126" s="118"/>
      <c r="HH126" s="118"/>
      <c r="HI126" s="118"/>
      <c r="HJ126" s="118"/>
      <c r="HK126" s="118"/>
      <c r="HL126" s="118"/>
    </row>
    <row r="127" spans="1:220" s="74" customFormat="1" ht="30" hidden="1" customHeight="1" x14ac:dyDescent="0.35">
      <c r="A127" s="119">
        <v>118</v>
      </c>
      <c r="B127" s="4"/>
      <c r="C127" s="7"/>
      <c r="D127" s="4"/>
      <c r="E127" s="246"/>
      <c r="F127" s="10"/>
      <c r="G127" s="10"/>
      <c r="H127" s="10"/>
      <c r="I127" s="10"/>
      <c r="J127" s="10"/>
      <c r="K127" s="10"/>
      <c r="L127" s="10"/>
      <c r="M127" s="10"/>
      <c r="N127" s="10"/>
      <c r="O127" s="11"/>
      <c r="P127" s="238"/>
      <c r="Q127" s="14"/>
      <c r="R127" s="10"/>
      <c r="S127" s="10"/>
      <c r="T127" s="10"/>
      <c r="U127" s="10"/>
      <c r="V127" s="10"/>
      <c r="W127" s="10"/>
      <c r="X127" s="10"/>
      <c r="Y127" s="10"/>
      <c r="Z127" s="15"/>
      <c r="AA127" s="238"/>
      <c r="AB127" s="14"/>
      <c r="AC127" s="10"/>
      <c r="AD127" s="10"/>
      <c r="AE127" s="10"/>
      <c r="AF127" s="10"/>
      <c r="AG127" s="10"/>
      <c r="AH127" s="10"/>
      <c r="AI127" s="10"/>
      <c r="AJ127" s="10"/>
      <c r="AK127" s="15"/>
      <c r="AL127" s="238"/>
      <c r="AM127" s="14"/>
      <c r="AN127" s="10"/>
      <c r="AO127" s="10"/>
      <c r="AP127" s="10"/>
      <c r="AQ127" s="10"/>
      <c r="AR127" s="10"/>
      <c r="AS127" s="10"/>
      <c r="AT127" s="10"/>
      <c r="AU127" s="10"/>
      <c r="AV127" s="15"/>
      <c r="AW127" s="238"/>
      <c r="AX127" s="14"/>
      <c r="AY127" s="10"/>
      <c r="AZ127" s="10"/>
      <c r="BA127" s="10"/>
      <c r="BB127" s="10"/>
      <c r="BC127" s="10"/>
      <c r="BD127" s="10"/>
      <c r="BE127" s="10"/>
      <c r="BF127" s="10"/>
      <c r="BG127" s="15"/>
      <c r="BH127" s="238"/>
      <c r="BI127" s="14"/>
      <c r="BJ127" s="10"/>
      <c r="BK127" s="10"/>
      <c r="BL127" s="10"/>
      <c r="BM127" s="10"/>
      <c r="BN127" s="10"/>
      <c r="BO127" s="10"/>
      <c r="BP127" s="10"/>
      <c r="BQ127" s="10"/>
      <c r="BR127" s="15"/>
      <c r="BS127" s="238"/>
      <c r="BT127" s="14"/>
      <c r="BU127" s="10"/>
      <c r="BV127" s="10"/>
      <c r="BW127" s="10"/>
      <c r="BX127" s="10"/>
      <c r="BY127" s="10"/>
      <c r="BZ127" s="10"/>
      <c r="CA127" s="10"/>
      <c r="CB127" s="14"/>
      <c r="CC127" s="10"/>
      <c r="CD127" s="10"/>
      <c r="CE127" s="10"/>
      <c r="CF127" s="10"/>
      <c r="CG127" s="10"/>
      <c r="CH127" s="10"/>
      <c r="CI127" s="238"/>
      <c r="CJ127" s="14"/>
      <c r="CK127" s="10"/>
      <c r="CL127" s="10"/>
      <c r="CM127" s="10"/>
      <c r="CN127" s="10"/>
      <c r="CO127" s="10"/>
      <c r="CP127" s="10"/>
      <c r="CQ127" s="10"/>
      <c r="CR127" s="14"/>
      <c r="CS127" s="10"/>
      <c r="CT127" s="10"/>
      <c r="CU127" s="10"/>
      <c r="CV127" s="10"/>
      <c r="CW127" s="10"/>
      <c r="CX127" s="10"/>
      <c r="CY127" s="238"/>
      <c r="CZ127" s="14"/>
      <c r="DA127" s="10"/>
      <c r="DB127" s="10"/>
      <c r="DC127" s="10"/>
      <c r="DD127" s="10"/>
      <c r="DE127" s="10"/>
      <c r="DF127" s="10"/>
      <c r="DG127" s="10"/>
      <c r="DH127" s="14"/>
      <c r="DI127" s="10"/>
      <c r="DJ127" s="10"/>
      <c r="DK127" s="10"/>
      <c r="DL127" s="10"/>
      <c r="DM127" s="10"/>
      <c r="DN127" s="10"/>
      <c r="DO127" s="238"/>
      <c r="DP127" s="14"/>
      <c r="DQ127" s="10"/>
      <c r="DR127" s="10"/>
      <c r="DS127" s="10"/>
      <c r="DT127" s="10"/>
      <c r="DU127" s="10"/>
      <c r="DV127" s="10"/>
      <c r="DW127" s="10"/>
      <c r="DX127" s="14"/>
      <c r="DY127" s="10"/>
      <c r="DZ127" s="10"/>
      <c r="EA127" s="10"/>
      <c r="EB127" s="10"/>
      <c r="EC127" s="10"/>
      <c r="ED127" s="10"/>
      <c r="EE127" s="238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238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/>
      <c r="FC127" s="238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238"/>
      <c r="FP127" s="14"/>
      <c r="FQ127" s="14"/>
      <c r="FR127" s="14"/>
      <c r="FS127" s="14"/>
      <c r="FT127" s="14"/>
      <c r="FU127" s="238"/>
      <c r="FV127" s="14"/>
      <c r="FW127" s="14"/>
      <c r="FX127" s="14"/>
      <c r="FY127" s="14"/>
      <c r="FZ127" s="14"/>
      <c r="GA127" s="120"/>
      <c r="GB127" s="122" t="str">
        <f t="shared" si="54"/>
        <v/>
      </c>
      <c r="GC127" s="140" t="str">
        <f t="shared" si="55"/>
        <v/>
      </c>
      <c r="GD127" s="122">
        <f t="shared" si="56"/>
        <v>0</v>
      </c>
      <c r="GE127" s="122">
        <f t="shared" si="57"/>
        <v>0</v>
      </c>
      <c r="GF127" s="122">
        <f t="shared" si="58"/>
        <v>0</v>
      </c>
      <c r="GG127" s="122">
        <f t="shared" si="59"/>
        <v>0</v>
      </c>
      <c r="GH127" s="122">
        <f t="shared" si="60"/>
        <v>0</v>
      </c>
      <c r="GI127" s="122">
        <f t="shared" si="61"/>
        <v>0</v>
      </c>
      <c r="GJ127" s="122">
        <f t="shared" si="62"/>
        <v>0</v>
      </c>
      <c r="GK127" s="122">
        <f t="shared" si="63"/>
        <v>0</v>
      </c>
      <c r="GL127" s="122">
        <f t="shared" si="64"/>
        <v>0</v>
      </c>
      <c r="GM127" s="122">
        <f t="shared" si="65"/>
        <v>0</v>
      </c>
      <c r="GN127" s="122">
        <f t="shared" si="66"/>
        <v>0</v>
      </c>
      <c r="GO127" s="122">
        <f t="shared" si="67"/>
        <v>0</v>
      </c>
      <c r="GP127" s="122">
        <f t="shared" si="68"/>
        <v>0</v>
      </c>
      <c r="GQ127" s="122">
        <f t="shared" si="69"/>
        <v>0</v>
      </c>
      <c r="GR127" s="122">
        <f t="shared" si="70"/>
        <v>0</v>
      </c>
      <c r="GS127" s="123">
        <f t="shared" si="71"/>
        <v>0</v>
      </c>
      <c r="GT127"/>
      <c r="GU127"/>
      <c r="GV127"/>
      <c r="GW127" s="124"/>
      <c r="GX127" s="118"/>
      <c r="GY127" s="118"/>
      <c r="GZ127" s="118"/>
      <c r="HA127" s="118"/>
      <c r="HB127" s="118"/>
      <c r="HC127" s="118"/>
      <c r="HD127" s="118"/>
      <c r="HE127" s="118"/>
      <c r="HF127" s="118"/>
      <c r="HG127" s="118"/>
      <c r="HH127" s="118"/>
      <c r="HI127" s="118"/>
      <c r="HJ127" s="118"/>
      <c r="HK127" s="118"/>
      <c r="HL127" s="118"/>
    </row>
    <row r="128" spans="1:220" s="74" customFormat="1" ht="30" hidden="1" customHeight="1" x14ac:dyDescent="0.35">
      <c r="A128" s="119">
        <v>119</v>
      </c>
      <c r="B128" s="3"/>
      <c r="C128" s="6"/>
      <c r="D128" s="3"/>
      <c r="E128" s="246"/>
      <c r="F128" s="8"/>
      <c r="G128" s="8"/>
      <c r="H128" s="8"/>
      <c r="I128" s="8"/>
      <c r="J128" s="8"/>
      <c r="K128" s="8"/>
      <c r="L128" s="8"/>
      <c r="M128" s="8"/>
      <c r="N128" s="8"/>
      <c r="O128" s="9"/>
      <c r="P128" s="238"/>
      <c r="Q128" s="12"/>
      <c r="R128" s="8"/>
      <c r="S128" s="8"/>
      <c r="T128" s="8"/>
      <c r="U128" s="8"/>
      <c r="V128" s="8"/>
      <c r="W128" s="8"/>
      <c r="X128" s="8"/>
      <c r="Y128" s="8"/>
      <c r="Z128" s="13"/>
      <c r="AA128" s="238"/>
      <c r="AB128" s="12"/>
      <c r="AC128" s="8"/>
      <c r="AD128" s="8"/>
      <c r="AE128" s="8"/>
      <c r="AF128" s="8"/>
      <c r="AG128" s="8"/>
      <c r="AH128" s="8"/>
      <c r="AI128" s="8"/>
      <c r="AJ128" s="8"/>
      <c r="AK128" s="13"/>
      <c r="AL128" s="238"/>
      <c r="AM128" s="12"/>
      <c r="AN128" s="8"/>
      <c r="AO128" s="8"/>
      <c r="AP128" s="8"/>
      <c r="AQ128" s="8"/>
      <c r="AR128" s="8"/>
      <c r="AS128" s="8"/>
      <c r="AT128" s="8"/>
      <c r="AU128" s="8"/>
      <c r="AV128" s="13"/>
      <c r="AW128" s="238"/>
      <c r="AX128" s="12"/>
      <c r="AY128" s="8"/>
      <c r="AZ128" s="8"/>
      <c r="BA128" s="8"/>
      <c r="BB128" s="8"/>
      <c r="BC128" s="8"/>
      <c r="BD128" s="8"/>
      <c r="BE128" s="8"/>
      <c r="BF128" s="8"/>
      <c r="BG128" s="13"/>
      <c r="BH128" s="238"/>
      <c r="BI128" s="12"/>
      <c r="BJ128" s="8"/>
      <c r="BK128" s="8"/>
      <c r="BL128" s="8"/>
      <c r="BM128" s="8"/>
      <c r="BN128" s="8"/>
      <c r="BO128" s="8"/>
      <c r="BP128" s="8"/>
      <c r="BQ128" s="8"/>
      <c r="BR128" s="13"/>
      <c r="BS128" s="238"/>
      <c r="BT128" s="12"/>
      <c r="BU128" s="8"/>
      <c r="BV128" s="8"/>
      <c r="BW128" s="8"/>
      <c r="BX128" s="8"/>
      <c r="BY128" s="8"/>
      <c r="BZ128" s="8"/>
      <c r="CA128" s="8"/>
      <c r="CB128" s="12"/>
      <c r="CC128" s="8"/>
      <c r="CD128" s="8"/>
      <c r="CE128" s="8"/>
      <c r="CF128" s="8"/>
      <c r="CG128" s="8"/>
      <c r="CH128" s="8"/>
      <c r="CI128" s="238"/>
      <c r="CJ128" s="12"/>
      <c r="CK128" s="8"/>
      <c r="CL128" s="8"/>
      <c r="CM128" s="8"/>
      <c r="CN128" s="8"/>
      <c r="CO128" s="8"/>
      <c r="CP128" s="8"/>
      <c r="CQ128" s="8"/>
      <c r="CR128" s="12"/>
      <c r="CS128" s="8"/>
      <c r="CT128" s="8"/>
      <c r="CU128" s="8"/>
      <c r="CV128" s="8"/>
      <c r="CW128" s="8"/>
      <c r="CX128" s="8"/>
      <c r="CY128" s="238"/>
      <c r="CZ128" s="12"/>
      <c r="DA128" s="8"/>
      <c r="DB128" s="8"/>
      <c r="DC128" s="8"/>
      <c r="DD128" s="8"/>
      <c r="DE128" s="8"/>
      <c r="DF128" s="8"/>
      <c r="DG128" s="8"/>
      <c r="DH128" s="12"/>
      <c r="DI128" s="8"/>
      <c r="DJ128" s="8"/>
      <c r="DK128" s="8"/>
      <c r="DL128" s="8"/>
      <c r="DM128" s="8"/>
      <c r="DN128" s="8"/>
      <c r="DO128" s="238"/>
      <c r="DP128" s="12"/>
      <c r="DQ128" s="8"/>
      <c r="DR128" s="8"/>
      <c r="DS128" s="8"/>
      <c r="DT128" s="8"/>
      <c r="DU128" s="8"/>
      <c r="DV128" s="8"/>
      <c r="DW128" s="8"/>
      <c r="DX128" s="12"/>
      <c r="DY128" s="8"/>
      <c r="DZ128" s="8"/>
      <c r="EA128" s="8"/>
      <c r="EB128" s="8"/>
      <c r="EC128" s="8"/>
      <c r="ED128" s="8"/>
      <c r="EE128" s="238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238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238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238"/>
      <c r="FP128" s="12"/>
      <c r="FQ128" s="12"/>
      <c r="FR128" s="12"/>
      <c r="FS128" s="12"/>
      <c r="FT128" s="12"/>
      <c r="FU128" s="238"/>
      <c r="FV128" s="12"/>
      <c r="FW128" s="12"/>
      <c r="FX128" s="12"/>
      <c r="FY128" s="12"/>
      <c r="FZ128" s="12"/>
      <c r="GA128" s="120"/>
      <c r="GB128" s="118" t="str">
        <f t="shared" si="54"/>
        <v/>
      </c>
      <c r="GC128" s="139" t="str">
        <f t="shared" si="55"/>
        <v/>
      </c>
      <c r="GD128" s="118">
        <f t="shared" si="56"/>
        <v>0</v>
      </c>
      <c r="GE128" s="118">
        <f t="shared" si="57"/>
        <v>0</v>
      </c>
      <c r="GF128" s="118">
        <f t="shared" si="58"/>
        <v>0</v>
      </c>
      <c r="GG128" s="118">
        <f t="shared" si="59"/>
        <v>0</v>
      </c>
      <c r="GH128" s="118">
        <f t="shared" si="60"/>
        <v>0</v>
      </c>
      <c r="GI128" s="118">
        <f t="shared" si="61"/>
        <v>0</v>
      </c>
      <c r="GJ128" s="118">
        <f t="shared" si="62"/>
        <v>0</v>
      </c>
      <c r="GK128" s="118">
        <f t="shared" si="63"/>
        <v>0</v>
      </c>
      <c r="GL128" s="118">
        <f t="shared" si="64"/>
        <v>0</v>
      </c>
      <c r="GM128" s="118">
        <f t="shared" si="65"/>
        <v>0</v>
      </c>
      <c r="GN128" s="118">
        <f t="shared" si="66"/>
        <v>0</v>
      </c>
      <c r="GO128" s="118">
        <f t="shared" si="67"/>
        <v>0</v>
      </c>
      <c r="GP128" s="118">
        <f t="shared" si="68"/>
        <v>0</v>
      </c>
      <c r="GQ128" s="118">
        <f t="shared" si="69"/>
        <v>0</v>
      </c>
      <c r="GR128" s="118">
        <f t="shared" si="70"/>
        <v>0</v>
      </c>
      <c r="GS128" s="121">
        <f t="shared" si="71"/>
        <v>0</v>
      </c>
      <c r="GT128"/>
      <c r="GU128"/>
      <c r="GV128"/>
      <c r="GW128" s="124"/>
      <c r="GX128" s="118"/>
      <c r="GY128" s="118"/>
      <c r="GZ128" s="118"/>
      <c r="HA128" s="118"/>
      <c r="HB128" s="118"/>
      <c r="HC128" s="118"/>
      <c r="HD128" s="118"/>
      <c r="HE128" s="118"/>
      <c r="HF128" s="118"/>
      <c r="HG128" s="118"/>
      <c r="HH128" s="118"/>
      <c r="HI128" s="118"/>
      <c r="HJ128" s="118"/>
      <c r="HK128" s="118"/>
      <c r="HL128" s="118"/>
    </row>
    <row r="129" spans="1:220" s="74" customFormat="1" ht="30" hidden="1" customHeight="1" x14ac:dyDescent="0.35">
      <c r="A129" s="119">
        <v>120</v>
      </c>
      <c r="B129" s="4"/>
      <c r="C129" s="7"/>
      <c r="D129" s="4"/>
      <c r="E129" s="246"/>
      <c r="F129" s="10"/>
      <c r="G129" s="10"/>
      <c r="H129" s="10"/>
      <c r="I129" s="10"/>
      <c r="J129" s="10"/>
      <c r="K129" s="10"/>
      <c r="L129" s="10"/>
      <c r="M129" s="10"/>
      <c r="N129" s="10"/>
      <c r="O129" s="11"/>
      <c r="P129" s="238"/>
      <c r="Q129" s="14"/>
      <c r="R129" s="10"/>
      <c r="S129" s="10"/>
      <c r="T129" s="10"/>
      <c r="U129" s="10"/>
      <c r="V129" s="10"/>
      <c r="W129" s="10"/>
      <c r="X129" s="10"/>
      <c r="Y129" s="10"/>
      <c r="Z129" s="15"/>
      <c r="AA129" s="238"/>
      <c r="AB129" s="14"/>
      <c r="AC129" s="10"/>
      <c r="AD129" s="10"/>
      <c r="AE129" s="10"/>
      <c r="AF129" s="10"/>
      <c r="AG129" s="10"/>
      <c r="AH129" s="10"/>
      <c r="AI129" s="10"/>
      <c r="AJ129" s="10"/>
      <c r="AK129" s="15"/>
      <c r="AL129" s="238"/>
      <c r="AM129" s="14"/>
      <c r="AN129" s="10"/>
      <c r="AO129" s="10"/>
      <c r="AP129" s="10"/>
      <c r="AQ129" s="10"/>
      <c r="AR129" s="10"/>
      <c r="AS129" s="10"/>
      <c r="AT129" s="10"/>
      <c r="AU129" s="10"/>
      <c r="AV129" s="15"/>
      <c r="AW129" s="238"/>
      <c r="AX129" s="14"/>
      <c r="AY129" s="10"/>
      <c r="AZ129" s="10"/>
      <c r="BA129" s="10"/>
      <c r="BB129" s="10"/>
      <c r="BC129" s="10"/>
      <c r="BD129" s="10"/>
      <c r="BE129" s="10"/>
      <c r="BF129" s="10"/>
      <c r="BG129" s="15"/>
      <c r="BH129" s="238"/>
      <c r="BI129" s="14"/>
      <c r="BJ129" s="10"/>
      <c r="BK129" s="10"/>
      <c r="BL129" s="10"/>
      <c r="BM129" s="10"/>
      <c r="BN129" s="10"/>
      <c r="BO129" s="10"/>
      <c r="BP129" s="10"/>
      <c r="BQ129" s="10"/>
      <c r="BR129" s="15"/>
      <c r="BS129" s="238"/>
      <c r="BT129" s="14"/>
      <c r="BU129" s="10"/>
      <c r="BV129" s="10"/>
      <c r="BW129" s="10"/>
      <c r="BX129" s="10"/>
      <c r="BY129" s="10"/>
      <c r="BZ129" s="10"/>
      <c r="CA129" s="10"/>
      <c r="CB129" s="14"/>
      <c r="CC129" s="10"/>
      <c r="CD129" s="10"/>
      <c r="CE129" s="10"/>
      <c r="CF129" s="10"/>
      <c r="CG129" s="10"/>
      <c r="CH129" s="10"/>
      <c r="CI129" s="238"/>
      <c r="CJ129" s="14"/>
      <c r="CK129" s="10"/>
      <c r="CL129" s="10"/>
      <c r="CM129" s="10"/>
      <c r="CN129" s="10"/>
      <c r="CO129" s="10"/>
      <c r="CP129" s="10"/>
      <c r="CQ129" s="10"/>
      <c r="CR129" s="14"/>
      <c r="CS129" s="10"/>
      <c r="CT129" s="10"/>
      <c r="CU129" s="10"/>
      <c r="CV129" s="10"/>
      <c r="CW129" s="10"/>
      <c r="CX129" s="10"/>
      <c r="CY129" s="238"/>
      <c r="CZ129" s="14"/>
      <c r="DA129" s="10"/>
      <c r="DB129" s="10"/>
      <c r="DC129" s="10"/>
      <c r="DD129" s="10"/>
      <c r="DE129" s="10"/>
      <c r="DF129" s="10"/>
      <c r="DG129" s="10"/>
      <c r="DH129" s="14"/>
      <c r="DI129" s="10"/>
      <c r="DJ129" s="10"/>
      <c r="DK129" s="10"/>
      <c r="DL129" s="10"/>
      <c r="DM129" s="10"/>
      <c r="DN129" s="10"/>
      <c r="DO129" s="238"/>
      <c r="DP129" s="14"/>
      <c r="DQ129" s="10"/>
      <c r="DR129" s="10"/>
      <c r="DS129" s="10"/>
      <c r="DT129" s="10"/>
      <c r="DU129" s="10"/>
      <c r="DV129" s="10"/>
      <c r="DW129" s="10"/>
      <c r="DX129" s="14"/>
      <c r="DY129" s="10"/>
      <c r="DZ129" s="10"/>
      <c r="EA129" s="10"/>
      <c r="EB129" s="10"/>
      <c r="EC129" s="10"/>
      <c r="ED129" s="10"/>
      <c r="EE129" s="238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238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/>
      <c r="FC129" s="238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238"/>
      <c r="FP129" s="14"/>
      <c r="FQ129" s="14"/>
      <c r="FR129" s="14"/>
      <c r="FS129" s="14"/>
      <c r="FT129" s="14"/>
      <c r="FU129" s="238"/>
      <c r="FV129" s="14"/>
      <c r="FW129" s="14"/>
      <c r="FX129" s="14"/>
      <c r="FY129" s="14"/>
      <c r="FZ129" s="14"/>
      <c r="GA129" s="120"/>
      <c r="GB129" s="122" t="str">
        <f t="shared" si="54"/>
        <v/>
      </c>
      <c r="GC129" s="140" t="str">
        <f t="shared" si="55"/>
        <v/>
      </c>
      <c r="GD129" s="122">
        <f t="shared" si="56"/>
        <v>0</v>
      </c>
      <c r="GE129" s="122">
        <f t="shared" si="57"/>
        <v>0</v>
      </c>
      <c r="GF129" s="122">
        <f t="shared" si="58"/>
        <v>0</v>
      </c>
      <c r="GG129" s="122">
        <f t="shared" si="59"/>
        <v>0</v>
      </c>
      <c r="GH129" s="122">
        <f t="shared" si="60"/>
        <v>0</v>
      </c>
      <c r="GI129" s="122">
        <f t="shared" si="61"/>
        <v>0</v>
      </c>
      <c r="GJ129" s="122">
        <f t="shared" si="62"/>
        <v>0</v>
      </c>
      <c r="GK129" s="122">
        <f t="shared" si="63"/>
        <v>0</v>
      </c>
      <c r="GL129" s="122">
        <f t="shared" si="64"/>
        <v>0</v>
      </c>
      <c r="GM129" s="122">
        <f t="shared" si="65"/>
        <v>0</v>
      </c>
      <c r="GN129" s="122">
        <f t="shared" si="66"/>
        <v>0</v>
      </c>
      <c r="GO129" s="122">
        <f t="shared" si="67"/>
        <v>0</v>
      </c>
      <c r="GP129" s="122">
        <f t="shared" si="68"/>
        <v>0</v>
      </c>
      <c r="GQ129" s="122">
        <f t="shared" si="69"/>
        <v>0</v>
      </c>
      <c r="GR129" s="122">
        <f t="shared" si="70"/>
        <v>0</v>
      </c>
      <c r="GS129" s="123">
        <f t="shared" si="71"/>
        <v>0</v>
      </c>
      <c r="GT129"/>
      <c r="GU129"/>
      <c r="GV129"/>
      <c r="GW129" s="124"/>
      <c r="GX129" s="118"/>
      <c r="GY129" s="118"/>
      <c r="GZ129" s="118"/>
      <c r="HA129" s="118"/>
      <c r="HB129" s="118"/>
      <c r="HC129" s="118"/>
      <c r="HD129" s="118"/>
      <c r="HE129" s="118"/>
      <c r="HF129" s="118"/>
      <c r="HG129" s="118"/>
      <c r="HH129" s="118"/>
      <c r="HI129" s="118"/>
      <c r="HJ129" s="118"/>
      <c r="HK129" s="118"/>
      <c r="HL129" s="118"/>
    </row>
    <row r="130" spans="1:220" s="74" customFormat="1" ht="30" hidden="1" customHeight="1" x14ac:dyDescent="0.35">
      <c r="A130" s="119">
        <v>121</v>
      </c>
      <c r="B130" s="3"/>
      <c r="C130" s="6"/>
      <c r="D130" s="3"/>
      <c r="E130" s="246"/>
      <c r="F130" s="8"/>
      <c r="G130" s="8"/>
      <c r="H130" s="8"/>
      <c r="I130" s="8"/>
      <c r="J130" s="8"/>
      <c r="K130" s="8"/>
      <c r="L130" s="8"/>
      <c r="M130" s="8"/>
      <c r="N130" s="8"/>
      <c r="O130" s="9"/>
      <c r="P130" s="238"/>
      <c r="Q130" s="12"/>
      <c r="R130" s="8"/>
      <c r="S130" s="8"/>
      <c r="T130" s="8"/>
      <c r="U130" s="8"/>
      <c r="V130" s="8"/>
      <c r="W130" s="8"/>
      <c r="X130" s="8"/>
      <c r="Y130" s="8"/>
      <c r="Z130" s="13"/>
      <c r="AA130" s="238"/>
      <c r="AB130" s="12"/>
      <c r="AC130" s="8"/>
      <c r="AD130" s="8"/>
      <c r="AE130" s="8"/>
      <c r="AF130" s="8"/>
      <c r="AG130" s="8"/>
      <c r="AH130" s="8"/>
      <c r="AI130" s="8"/>
      <c r="AJ130" s="8"/>
      <c r="AK130" s="13"/>
      <c r="AL130" s="238"/>
      <c r="AM130" s="12"/>
      <c r="AN130" s="8"/>
      <c r="AO130" s="8"/>
      <c r="AP130" s="8"/>
      <c r="AQ130" s="8"/>
      <c r="AR130" s="8"/>
      <c r="AS130" s="8"/>
      <c r="AT130" s="8"/>
      <c r="AU130" s="8"/>
      <c r="AV130" s="13"/>
      <c r="AW130" s="238"/>
      <c r="AX130" s="12"/>
      <c r="AY130" s="8"/>
      <c r="AZ130" s="8"/>
      <c r="BA130" s="8"/>
      <c r="BB130" s="8"/>
      <c r="BC130" s="8"/>
      <c r="BD130" s="8"/>
      <c r="BE130" s="8"/>
      <c r="BF130" s="8"/>
      <c r="BG130" s="13"/>
      <c r="BH130" s="238"/>
      <c r="BI130" s="12"/>
      <c r="BJ130" s="8"/>
      <c r="BK130" s="8"/>
      <c r="BL130" s="8"/>
      <c r="BM130" s="8"/>
      <c r="BN130" s="8"/>
      <c r="BO130" s="8"/>
      <c r="BP130" s="8"/>
      <c r="BQ130" s="8"/>
      <c r="BR130" s="13"/>
      <c r="BS130" s="238"/>
      <c r="BT130" s="12"/>
      <c r="BU130" s="8"/>
      <c r="BV130" s="8"/>
      <c r="BW130" s="8"/>
      <c r="BX130" s="8"/>
      <c r="BY130" s="8"/>
      <c r="BZ130" s="8"/>
      <c r="CA130" s="8"/>
      <c r="CB130" s="12"/>
      <c r="CC130" s="8"/>
      <c r="CD130" s="8"/>
      <c r="CE130" s="8"/>
      <c r="CF130" s="8"/>
      <c r="CG130" s="8"/>
      <c r="CH130" s="8"/>
      <c r="CI130" s="238"/>
      <c r="CJ130" s="12"/>
      <c r="CK130" s="8"/>
      <c r="CL130" s="8"/>
      <c r="CM130" s="8"/>
      <c r="CN130" s="8"/>
      <c r="CO130" s="8"/>
      <c r="CP130" s="8"/>
      <c r="CQ130" s="8"/>
      <c r="CR130" s="12"/>
      <c r="CS130" s="8"/>
      <c r="CT130" s="8"/>
      <c r="CU130" s="8"/>
      <c r="CV130" s="8"/>
      <c r="CW130" s="8"/>
      <c r="CX130" s="8"/>
      <c r="CY130" s="238"/>
      <c r="CZ130" s="12"/>
      <c r="DA130" s="8"/>
      <c r="DB130" s="8"/>
      <c r="DC130" s="8"/>
      <c r="DD130" s="8"/>
      <c r="DE130" s="8"/>
      <c r="DF130" s="8"/>
      <c r="DG130" s="8"/>
      <c r="DH130" s="12"/>
      <c r="DI130" s="8"/>
      <c r="DJ130" s="8"/>
      <c r="DK130" s="8"/>
      <c r="DL130" s="8"/>
      <c r="DM130" s="8"/>
      <c r="DN130" s="8"/>
      <c r="DO130" s="238"/>
      <c r="DP130" s="12"/>
      <c r="DQ130" s="8"/>
      <c r="DR130" s="8"/>
      <c r="DS130" s="8"/>
      <c r="DT130" s="8"/>
      <c r="DU130" s="8"/>
      <c r="DV130" s="8"/>
      <c r="DW130" s="8"/>
      <c r="DX130" s="12"/>
      <c r="DY130" s="8"/>
      <c r="DZ130" s="8"/>
      <c r="EA130" s="8"/>
      <c r="EB130" s="8"/>
      <c r="EC130" s="8"/>
      <c r="ED130" s="8"/>
      <c r="EE130" s="238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238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238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238"/>
      <c r="FP130" s="12"/>
      <c r="FQ130" s="12"/>
      <c r="FR130" s="12"/>
      <c r="FS130" s="12"/>
      <c r="FT130" s="12"/>
      <c r="FU130" s="238"/>
      <c r="FV130" s="12"/>
      <c r="FW130" s="12"/>
      <c r="FX130" s="12"/>
      <c r="FY130" s="12"/>
      <c r="FZ130" s="12"/>
      <c r="GA130" s="120"/>
      <c r="GB130" s="118" t="str">
        <f t="shared" si="54"/>
        <v/>
      </c>
      <c r="GC130" s="139" t="str">
        <f t="shared" si="55"/>
        <v/>
      </c>
      <c r="GD130" s="118">
        <f t="shared" si="56"/>
        <v>0</v>
      </c>
      <c r="GE130" s="118">
        <f t="shared" si="57"/>
        <v>0</v>
      </c>
      <c r="GF130" s="118">
        <f t="shared" si="58"/>
        <v>0</v>
      </c>
      <c r="GG130" s="118">
        <f t="shared" si="59"/>
        <v>0</v>
      </c>
      <c r="GH130" s="118">
        <f t="shared" si="60"/>
        <v>0</v>
      </c>
      <c r="GI130" s="118">
        <f t="shared" si="61"/>
        <v>0</v>
      </c>
      <c r="GJ130" s="118">
        <f t="shared" si="62"/>
        <v>0</v>
      </c>
      <c r="GK130" s="118">
        <f t="shared" si="63"/>
        <v>0</v>
      </c>
      <c r="GL130" s="118">
        <f t="shared" si="64"/>
        <v>0</v>
      </c>
      <c r="GM130" s="118">
        <f t="shared" si="65"/>
        <v>0</v>
      </c>
      <c r="GN130" s="118">
        <f t="shared" si="66"/>
        <v>0</v>
      </c>
      <c r="GO130" s="118">
        <f t="shared" si="67"/>
        <v>0</v>
      </c>
      <c r="GP130" s="118">
        <f t="shared" si="68"/>
        <v>0</v>
      </c>
      <c r="GQ130" s="118">
        <f t="shared" si="69"/>
        <v>0</v>
      </c>
      <c r="GR130" s="118">
        <f t="shared" si="70"/>
        <v>0</v>
      </c>
      <c r="GS130" s="121">
        <f t="shared" si="71"/>
        <v>0</v>
      </c>
      <c r="GT130"/>
      <c r="GU130"/>
      <c r="GV130"/>
      <c r="GW130" s="124"/>
      <c r="GX130" s="118"/>
      <c r="GY130" s="118"/>
      <c r="GZ130" s="118"/>
      <c r="HA130" s="118"/>
      <c r="HB130" s="118"/>
      <c r="HC130" s="118"/>
      <c r="HD130" s="118"/>
      <c r="HE130" s="118"/>
      <c r="HF130" s="118"/>
      <c r="HG130" s="118"/>
      <c r="HH130" s="118"/>
      <c r="HI130" s="118"/>
      <c r="HJ130" s="118"/>
      <c r="HK130" s="118"/>
      <c r="HL130" s="118"/>
    </row>
    <row r="131" spans="1:220" s="74" customFormat="1" ht="30" hidden="1" customHeight="1" x14ac:dyDescent="0.35">
      <c r="A131" s="119">
        <v>122</v>
      </c>
      <c r="B131" s="4"/>
      <c r="C131" s="7"/>
      <c r="D131" s="4"/>
      <c r="E131" s="246"/>
      <c r="F131" s="10"/>
      <c r="G131" s="10"/>
      <c r="H131" s="10"/>
      <c r="I131" s="10"/>
      <c r="J131" s="10"/>
      <c r="K131" s="10"/>
      <c r="L131" s="10"/>
      <c r="M131" s="10"/>
      <c r="N131" s="10"/>
      <c r="O131" s="11"/>
      <c r="P131" s="238"/>
      <c r="Q131" s="14"/>
      <c r="R131" s="10"/>
      <c r="S131" s="10"/>
      <c r="T131" s="10"/>
      <c r="U131" s="10"/>
      <c r="V131" s="10"/>
      <c r="W131" s="10"/>
      <c r="X131" s="10"/>
      <c r="Y131" s="10"/>
      <c r="Z131" s="15"/>
      <c r="AA131" s="238"/>
      <c r="AB131" s="14"/>
      <c r="AC131" s="10"/>
      <c r="AD131" s="10"/>
      <c r="AE131" s="10"/>
      <c r="AF131" s="10"/>
      <c r="AG131" s="10"/>
      <c r="AH131" s="10"/>
      <c r="AI131" s="10"/>
      <c r="AJ131" s="10"/>
      <c r="AK131" s="15"/>
      <c r="AL131" s="238"/>
      <c r="AM131" s="14"/>
      <c r="AN131" s="10"/>
      <c r="AO131" s="10"/>
      <c r="AP131" s="10"/>
      <c r="AQ131" s="10"/>
      <c r="AR131" s="10"/>
      <c r="AS131" s="10"/>
      <c r="AT131" s="10"/>
      <c r="AU131" s="10"/>
      <c r="AV131" s="15"/>
      <c r="AW131" s="238"/>
      <c r="AX131" s="14"/>
      <c r="AY131" s="10"/>
      <c r="AZ131" s="10"/>
      <c r="BA131" s="10"/>
      <c r="BB131" s="10"/>
      <c r="BC131" s="10"/>
      <c r="BD131" s="10"/>
      <c r="BE131" s="10"/>
      <c r="BF131" s="10"/>
      <c r="BG131" s="15"/>
      <c r="BH131" s="238"/>
      <c r="BI131" s="14"/>
      <c r="BJ131" s="10"/>
      <c r="BK131" s="10"/>
      <c r="BL131" s="10"/>
      <c r="BM131" s="10"/>
      <c r="BN131" s="10"/>
      <c r="BO131" s="10"/>
      <c r="BP131" s="10"/>
      <c r="BQ131" s="10"/>
      <c r="BR131" s="15"/>
      <c r="BS131" s="238"/>
      <c r="BT131" s="14"/>
      <c r="BU131" s="10"/>
      <c r="BV131" s="10"/>
      <c r="BW131" s="10"/>
      <c r="BX131" s="10"/>
      <c r="BY131" s="10"/>
      <c r="BZ131" s="10"/>
      <c r="CA131" s="10"/>
      <c r="CB131" s="14"/>
      <c r="CC131" s="10"/>
      <c r="CD131" s="10"/>
      <c r="CE131" s="10"/>
      <c r="CF131" s="10"/>
      <c r="CG131" s="10"/>
      <c r="CH131" s="10"/>
      <c r="CI131" s="238"/>
      <c r="CJ131" s="14"/>
      <c r="CK131" s="10"/>
      <c r="CL131" s="10"/>
      <c r="CM131" s="10"/>
      <c r="CN131" s="10"/>
      <c r="CO131" s="10"/>
      <c r="CP131" s="10"/>
      <c r="CQ131" s="10"/>
      <c r="CR131" s="14"/>
      <c r="CS131" s="10"/>
      <c r="CT131" s="10"/>
      <c r="CU131" s="10"/>
      <c r="CV131" s="10"/>
      <c r="CW131" s="10"/>
      <c r="CX131" s="10"/>
      <c r="CY131" s="238"/>
      <c r="CZ131" s="14"/>
      <c r="DA131" s="10"/>
      <c r="DB131" s="10"/>
      <c r="DC131" s="10"/>
      <c r="DD131" s="10"/>
      <c r="DE131" s="10"/>
      <c r="DF131" s="10"/>
      <c r="DG131" s="10"/>
      <c r="DH131" s="14"/>
      <c r="DI131" s="10"/>
      <c r="DJ131" s="10"/>
      <c r="DK131" s="10"/>
      <c r="DL131" s="10"/>
      <c r="DM131" s="10"/>
      <c r="DN131" s="10"/>
      <c r="DO131" s="238"/>
      <c r="DP131" s="14"/>
      <c r="DQ131" s="10"/>
      <c r="DR131" s="10"/>
      <c r="DS131" s="10"/>
      <c r="DT131" s="10"/>
      <c r="DU131" s="10"/>
      <c r="DV131" s="10"/>
      <c r="DW131" s="10"/>
      <c r="DX131" s="14"/>
      <c r="DY131" s="10"/>
      <c r="DZ131" s="10"/>
      <c r="EA131" s="10"/>
      <c r="EB131" s="10"/>
      <c r="EC131" s="10"/>
      <c r="ED131" s="10"/>
      <c r="EE131" s="238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238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/>
      <c r="FC131" s="238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238"/>
      <c r="FP131" s="14"/>
      <c r="FQ131" s="14"/>
      <c r="FR131" s="14"/>
      <c r="FS131" s="14"/>
      <c r="FT131" s="14"/>
      <c r="FU131" s="238"/>
      <c r="FV131" s="14"/>
      <c r="FW131" s="14"/>
      <c r="FX131" s="14"/>
      <c r="FY131" s="14"/>
      <c r="FZ131" s="14"/>
      <c r="GA131" s="120"/>
      <c r="GB131" s="122" t="str">
        <f t="shared" si="54"/>
        <v/>
      </c>
      <c r="GC131" s="140" t="str">
        <f t="shared" si="55"/>
        <v/>
      </c>
      <c r="GD131" s="122">
        <f t="shared" si="56"/>
        <v>0</v>
      </c>
      <c r="GE131" s="122">
        <f t="shared" si="57"/>
        <v>0</v>
      </c>
      <c r="GF131" s="122">
        <f t="shared" si="58"/>
        <v>0</v>
      </c>
      <c r="GG131" s="122">
        <f t="shared" si="59"/>
        <v>0</v>
      </c>
      <c r="GH131" s="122">
        <f t="shared" si="60"/>
        <v>0</v>
      </c>
      <c r="GI131" s="122">
        <f t="shared" si="61"/>
        <v>0</v>
      </c>
      <c r="GJ131" s="122">
        <f t="shared" si="62"/>
        <v>0</v>
      </c>
      <c r="GK131" s="122">
        <f t="shared" si="63"/>
        <v>0</v>
      </c>
      <c r="GL131" s="122">
        <f t="shared" si="64"/>
        <v>0</v>
      </c>
      <c r="GM131" s="122">
        <f t="shared" si="65"/>
        <v>0</v>
      </c>
      <c r="GN131" s="122">
        <f t="shared" si="66"/>
        <v>0</v>
      </c>
      <c r="GO131" s="122">
        <f t="shared" si="67"/>
        <v>0</v>
      </c>
      <c r="GP131" s="122">
        <f t="shared" si="68"/>
        <v>0</v>
      </c>
      <c r="GQ131" s="122">
        <f t="shared" si="69"/>
        <v>0</v>
      </c>
      <c r="GR131" s="122">
        <f t="shared" si="70"/>
        <v>0</v>
      </c>
      <c r="GS131" s="123">
        <f t="shared" si="71"/>
        <v>0</v>
      </c>
      <c r="GT131"/>
      <c r="GU131"/>
      <c r="GV131"/>
      <c r="GW131" s="124"/>
      <c r="GX131" s="118"/>
      <c r="GY131" s="118"/>
      <c r="GZ131" s="118"/>
      <c r="HA131" s="118"/>
      <c r="HB131" s="118"/>
      <c r="HC131" s="118"/>
      <c r="HD131" s="118"/>
      <c r="HE131" s="118"/>
      <c r="HF131" s="118"/>
      <c r="HG131" s="118"/>
      <c r="HH131" s="118"/>
      <c r="HI131" s="118"/>
      <c r="HJ131" s="118"/>
      <c r="HK131" s="118"/>
      <c r="HL131" s="118"/>
    </row>
    <row r="132" spans="1:220" s="74" customFormat="1" ht="30" hidden="1" customHeight="1" x14ac:dyDescent="0.35">
      <c r="A132" s="119">
        <v>123</v>
      </c>
      <c r="B132" s="3"/>
      <c r="C132" s="6"/>
      <c r="D132" s="3"/>
      <c r="E132" s="246"/>
      <c r="F132" s="8"/>
      <c r="G132" s="8"/>
      <c r="H132" s="8"/>
      <c r="I132" s="8"/>
      <c r="J132" s="8"/>
      <c r="K132" s="8"/>
      <c r="L132" s="8"/>
      <c r="M132" s="8"/>
      <c r="N132" s="8"/>
      <c r="O132" s="9"/>
      <c r="P132" s="238"/>
      <c r="Q132" s="12"/>
      <c r="R132" s="8"/>
      <c r="S132" s="8"/>
      <c r="T132" s="8"/>
      <c r="U132" s="8"/>
      <c r="V132" s="8"/>
      <c r="W132" s="8"/>
      <c r="X132" s="8"/>
      <c r="Y132" s="8"/>
      <c r="Z132" s="13"/>
      <c r="AA132" s="238"/>
      <c r="AB132" s="12"/>
      <c r="AC132" s="8"/>
      <c r="AD132" s="8"/>
      <c r="AE132" s="8"/>
      <c r="AF132" s="8"/>
      <c r="AG132" s="8"/>
      <c r="AH132" s="8"/>
      <c r="AI132" s="8"/>
      <c r="AJ132" s="8"/>
      <c r="AK132" s="13"/>
      <c r="AL132" s="238"/>
      <c r="AM132" s="12"/>
      <c r="AN132" s="8"/>
      <c r="AO132" s="8"/>
      <c r="AP132" s="8"/>
      <c r="AQ132" s="8"/>
      <c r="AR132" s="8"/>
      <c r="AS132" s="8"/>
      <c r="AT132" s="8"/>
      <c r="AU132" s="8"/>
      <c r="AV132" s="13"/>
      <c r="AW132" s="238"/>
      <c r="AX132" s="12"/>
      <c r="AY132" s="8"/>
      <c r="AZ132" s="8"/>
      <c r="BA132" s="8"/>
      <c r="BB132" s="8"/>
      <c r="BC132" s="8"/>
      <c r="BD132" s="8"/>
      <c r="BE132" s="8"/>
      <c r="BF132" s="8"/>
      <c r="BG132" s="13"/>
      <c r="BH132" s="238"/>
      <c r="BI132" s="12"/>
      <c r="BJ132" s="8"/>
      <c r="BK132" s="8"/>
      <c r="BL132" s="8"/>
      <c r="BM132" s="8"/>
      <c r="BN132" s="8"/>
      <c r="BO132" s="8"/>
      <c r="BP132" s="8"/>
      <c r="BQ132" s="8"/>
      <c r="BR132" s="13"/>
      <c r="BS132" s="238"/>
      <c r="BT132" s="12"/>
      <c r="BU132" s="8"/>
      <c r="BV132" s="8"/>
      <c r="BW132" s="8"/>
      <c r="BX132" s="8"/>
      <c r="BY132" s="8"/>
      <c r="BZ132" s="8"/>
      <c r="CA132" s="8"/>
      <c r="CB132" s="12"/>
      <c r="CC132" s="8"/>
      <c r="CD132" s="8"/>
      <c r="CE132" s="8"/>
      <c r="CF132" s="8"/>
      <c r="CG132" s="8"/>
      <c r="CH132" s="8"/>
      <c r="CI132" s="238"/>
      <c r="CJ132" s="12"/>
      <c r="CK132" s="8"/>
      <c r="CL132" s="8"/>
      <c r="CM132" s="8"/>
      <c r="CN132" s="8"/>
      <c r="CO132" s="8"/>
      <c r="CP132" s="8"/>
      <c r="CQ132" s="8"/>
      <c r="CR132" s="12"/>
      <c r="CS132" s="8"/>
      <c r="CT132" s="8"/>
      <c r="CU132" s="8"/>
      <c r="CV132" s="8"/>
      <c r="CW132" s="8"/>
      <c r="CX132" s="8"/>
      <c r="CY132" s="238"/>
      <c r="CZ132" s="12"/>
      <c r="DA132" s="8"/>
      <c r="DB132" s="8"/>
      <c r="DC132" s="8"/>
      <c r="DD132" s="8"/>
      <c r="DE132" s="8"/>
      <c r="DF132" s="8"/>
      <c r="DG132" s="8"/>
      <c r="DH132" s="12"/>
      <c r="DI132" s="8"/>
      <c r="DJ132" s="8"/>
      <c r="DK132" s="8"/>
      <c r="DL132" s="8"/>
      <c r="DM132" s="8"/>
      <c r="DN132" s="8"/>
      <c r="DO132" s="238"/>
      <c r="DP132" s="12"/>
      <c r="DQ132" s="8"/>
      <c r="DR132" s="8"/>
      <c r="DS132" s="8"/>
      <c r="DT132" s="8"/>
      <c r="DU132" s="8"/>
      <c r="DV132" s="8"/>
      <c r="DW132" s="8"/>
      <c r="DX132" s="12"/>
      <c r="DY132" s="8"/>
      <c r="DZ132" s="8"/>
      <c r="EA132" s="8"/>
      <c r="EB132" s="8"/>
      <c r="EC132" s="8"/>
      <c r="ED132" s="8"/>
      <c r="EE132" s="238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238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238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238"/>
      <c r="FP132" s="12"/>
      <c r="FQ132" s="12"/>
      <c r="FR132" s="12"/>
      <c r="FS132" s="12"/>
      <c r="FT132" s="12"/>
      <c r="FU132" s="238"/>
      <c r="FV132" s="12"/>
      <c r="FW132" s="12"/>
      <c r="FX132" s="12"/>
      <c r="FY132" s="12"/>
      <c r="FZ132" s="12"/>
      <c r="GA132" s="120"/>
      <c r="GB132" s="118" t="str">
        <f t="shared" si="54"/>
        <v/>
      </c>
      <c r="GC132" s="139" t="str">
        <f t="shared" si="55"/>
        <v/>
      </c>
      <c r="GD132" s="118">
        <f t="shared" si="56"/>
        <v>0</v>
      </c>
      <c r="GE132" s="118">
        <f t="shared" si="57"/>
        <v>0</v>
      </c>
      <c r="GF132" s="118">
        <f t="shared" si="58"/>
        <v>0</v>
      </c>
      <c r="GG132" s="118">
        <f t="shared" si="59"/>
        <v>0</v>
      </c>
      <c r="GH132" s="118">
        <f t="shared" si="60"/>
        <v>0</v>
      </c>
      <c r="GI132" s="118">
        <f t="shared" si="61"/>
        <v>0</v>
      </c>
      <c r="GJ132" s="118">
        <f t="shared" si="62"/>
        <v>0</v>
      </c>
      <c r="GK132" s="118">
        <f t="shared" si="63"/>
        <v>0</v>
      </c>
      <c r="GL132" s="118">
        <f t="shared" si="64"/>
        <v>0</v>
      </c>
      <c r="GM132" s="118">
        <f t="shared" si="65"/>
        <v>0</v>
      </c>
      <c r="GN132" s="118">
        <f t="shared" si="66"/>
        <v>0</v>
      </c>
      <c r="GO132" s="118">
        <f t="shared" si="67"/>
        <v>0</v>
      </c>
      <c r="GP132" s="118">
        <f t="shared" si="68"/>
        <v>0</v>
      </c>
      <c r="GQ132" s="118">
        <f t="shared" si="69"/>
        <v>0</v>
      </c>
      <c r="GR132" s="118">
        <f t="shared" si="70"/>
        <v>0</v>
      </c>
      <c r="GS132" s="121">
        <f t="shared" si="71"/>
        <v>0</v>
      </c>
      <c r="GT132"/>
      <c r="GU132"/>
      <c r="GV132"/>
      <c r="GW132" s="124"/>
      <c r="GX132" s="118"/>
      <c r="GY132" s="118"/>
      <c r="GZ132" s="118"/>
      <c r="HA132" s="118"/>
      <c r="HB132" s="118"/>
      <c r="HC132" s="118"/>
      <c r="HD132" s="118"/>
      <c r="HE132" s="118"/>
      <c r="HF132" s="118"/>
      <c r="HG132" s="118"/>
      <c r="HH132" s="118"/>
      <c r="HI132" s="118"/>
      <c r="HJ132" s="118"/>
      <c r="HK132" s="118"/>
      <c r="HL132" s="118"/>
    </row>
    <row r="133" spans="1:220" s="74" customFormat="1" ht="30" hidden="1" customHeight="1" x14ac:dyDescent="0.35">
      <c r="A133" s="119">
        <v>124</v>
      </c>
      <c r="B133" s="4"/>
      <c r="C133" s="7"/>
      <c r="D133" s="4"/>
      <c r="E133" s="246"/>
      <c r="F133" s="10"/>
      <c r="G133" s="10"/>
      <c r="H133" s="10"/>
      <c r="I133" s="10"/>
      <c r="J133" s="10"/>
      <c r="K133" s="10"/>
      <c r="L133" s="10"/>
      <c r="M133" s="10"/>
      <c r="N133" s="10"/>
      <c r="O133" s="11"/>
      <c r="P133" s="238"/>
      <c r="Q133" s="14"/>
      <c r="R133" s="10"/>
      <c r="S133" s="10"/>
      <c r="T133" s="10"/>
      <c r="U133" s="10"/>
      <c r="V133" s="10"/>
      <c r="W133" s="10"/>
      <c r="X133" s="10"/>
      <c r="Y133" s="10"/>
      <c r="Z133" s="15"/>
      <c r="AA133" s="238"/>
      <c r="AB133" s="14"/>
      <c r="AC133" s="10"/>
      <c r="AD133" s="10"/>
      <c r="AE133" s="10"/>
      <c r="AF133" s="10"/>
      <c r="AG133" s="10"/>
      <c r="AH133" s="10"/>
      <c r="AI133" s="10"/>
      <c r="AJ133" s="10"/>
      <c r="AK133" s="15"/>
      <c r="AL133" s="238"/>
      <c r="AM133" s="14"/>
      <c r="AN133" s="10"/>
      <c r="AO133" s="10"/>
      <c r="AP133" s="10"/>
      <c r="AQ133" s="10"/>
      <c r="AR133" s="10"/>
      <c r="AS133" s="10"/>
      <c r="AT133" s="10"/>
      <c r="AU133" s="10"/>
      <c r="AV133" s="15"/>
      <c r="AW133" s="238"/>
      <c r="AX133" s="14"/>
      <c r="AY133" s="10"/>
      <c r="AZ133" s="10"/>
      <c r="BA133" s="10"/>
      <c r="BB133" s="10"/>
      <c r="BC133" s="10"/>
      <c r="BD133" s="10"/>
      <c r="BE133" s="10"/>
      <c r="BF133" s="10"/>
      <c r="BG133" s="15"/>
      <c r="BH133" s="238"/>
      <c r="BI133" s="14"/>
      <c r="BJ133" s="10"/>
      <c r="BK133" s="10"/>
      <c r="BL133" s="10"/>
      <c r="BM133" s="10"/>
      <c r="BN133" s="10"/>
      <c r="BO133" s="10"/>
      <c r="BP133" s="10"/>
      <c r="BQ133" s="10"/>
      <c r="BR133" s="15"/>
      <c r="BS133" s="238"/>
      <c r="BT133" s="14"/>
      <c r="BU133" s="10"/>
      <c r="BV133" s="10"/>
      <c r="BW133" s="10"/>
      <c r="BX133" s="10"/>
      <c r="BY133" s="10"/>
      <c r="BZ133" s="10"/>
      <c r="CA133" s="10"/>
      <c r="CB133" s="14"/>
      <c r="CC133" s="10"/>
      <c r="CD133" s="10"/>
      <c r="CE133" s="10"/>
      <c r="CF133" s="10"/>
      <c r="CG133" s="10"/>
      <c r="CH133" s="10"/>
      <c r="CI133" s="238"/>
      <c r="CJ133" s="14"/>
      <c r="CK133" s="10"/>
      <c r="CL133" s="10"/>
      <c r="CM133" s="10"/>
      <c r="CN133" s="10"/>
      <c r="CO133" s="10"/>
      <c r="CP133" s="10"/>
      <c r="CQ133" s="10"/>
      <c r="CR133" s="14"/>
      <c r="CS133" s="10"/>
      <c r="CT133" s="10"/>
      <c r="CU133" s="10"/>
      <c r="CV133" s="10"/>
      <c r="CW133" s="10"/>
      <c r="CX133" s="10"/>
      <c r="CY133" s="238"/>
      <c r="CZ133" s="14"/>
      <c r="DA133" s="10"/>
      <c r="DB133" s="10"/>
      <c r="DC133" s="10"/>
      <c r="DD133" s="10"/>
      <c r="DE133" s="10"/>
      <c r="DF133" s="10"/>
      <c r="DG133" s="10"/>
      <c r="DH133" s="14"/>
      <c r="DI133" s="10"/>
      <c r="DJ133" s="10"/>
      <c r="DK133" s="10"/>
      <c r="DL133" s="10"/>
      <c r="DM133" s="10"/>
      <c r="DN133" s="10"/>
      <c r="DO133" s="238"/>
      <c r="DP133" s="14"/>
      <c r="DQ133" s="10"/>
      <c r="DR133" s="10"/>
      <c r="DS133" s="10"/>
      <c r="DT133" s="10"/>
      <c r="DU133" s="10"/>
      <c r="DV133" s="10"/>
      <c r="DW133" s="10"/>
      <c r="DX133" s="14"/>
      <c r="DY133" s="10"/>
      <c r="DZ133" s="10"/>
      <c r="EA133" s="10"/>
      <c r="EB133" s="10"/>
      <c r="EC133" s="10"/>
      <c r="ED133" s="10"/>
      <c r="EE133" s="238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238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/>
      <c r="FC133" s="238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238"/>
      <c r="FP133" s="14"/>
      <c r="FQ133" s="14"/>
      <c r="FR133" s="14"/>
      <c r="FS133" s="14"/>
      <c r="FT133" s="14"/>
      <c r="FU133" s="238"/>
      <c r="FV133" s="14"/>
      <c r="FW133" s="14"/>
      <c r="FX133" s="14"/>
      <c r="FY133" s="14"/>
      <c r="FZ133" s="14"/>
      <c r="GA133" s="120"/>
      <c r="GB133" s="122" t="str">
        <f t="shared" si="54"/>
        <v/>
      </c>
      <c r="GC133" s="140" t="str">
        <f t="shared" si="55"/>
        <v/>
      </c>
      <c r="GD133" s="122">
        <f t="shared" si="56"/>
        <v>0</v>
      </c>
      <c r="GE133" s="122">
        <f t="shared" si="57"/>
        <v>0</v>
      </c>
      <c r="GF133" s="122">
        <f t="shared" si="58"/>
        <v>0</v>
      </c>
      <c r="GG133" s="122">
        <f t="shared" si="59"/>
        <v>0</v>
      </c>
      <c r="GH133" s="122">
        <f t="shared" si="60"/>
        <v>0</v>
      </c>
      <c r="GI133" s="122">
        <f t="shared" si="61"/>
        <v>0</v>
      </c>
      <c r="GJ133" s="122">
        <f t="shared" si="62"/>
        <v>0</v>
      </c>
      <c r="GK133" s="122">
        <f t="shared" si="63"/>
        <v>0</v>
      </c>
      <c r="GL133" s="122">
        <f t="shared" si="64"/>
        <v>0</v>
      </c>
      <c r="GM133" s="122">
        <f t="shared" si="65"/>
        <v>0</v>
      </c>
      <c r="GN133" s="122">
        <f t="shared" si="66"/>
        <v>0</v>
      </c>
      <c r="GO133" s="122">
        <f t="shared" si="67"/>
        <v>0</v>
      </c>
      <c r="GP133" s="122">
        <f t="shared" si="68"/>
        <v>0</v>
      </c>
      <c r="GQ133" s="122">
        <f t="shared" si="69"/>
        <v>0</v>
      </c>
      <c r="GR133" s="122">
        <f t="shared" si="70"/>
        <v>0</v>
      </c>
      <c r="GS133" s="123">
        <f t="shared" si="71"/>
        <v>0</v>
      </c>
      <c r="GT133"/>
      <c r="GU133"/>
      <c r="GV133"/>
      <c r="GW133" s="124"/>
      <c r="GX133" s="118"/>
      <c r="GY133" s="118"/>
      <c r="GZ133" s="118"/>
      <c r="HA133" s="118"/>
      <c r="HB133" s="118"/>
      <c r="HC133" s="118"/>
      <c r="HD133" s="118"/>
      <c r="HE133" s="118"/>
      <c r="HF133" s="118"/>
      <c r="HG133" s="118"/>
      <c r="HH133" s="118"/>
      <c r="HI133" s="118"/>
      <c r="HJ133" s="118"/>
      <c r="HK133" s="118"/>
      <c r="HL133" s="118"/>
    </row>
    <row r="134" spans="1:220" s="74" customFormat="1" ht="30" hidden="1" customHeight="1" x14ac:dyDescent="0.35">
      <c r="A134" s="119">
        <v>125</v>
      </c>
      <c r="B134" s="3"/>
      <c r="C134" s="6"/>
      <c r="D134" s="3"/>
      <c r="E134" s="246"/>
      <c r="F134" s="8"/>
      <c r="G134" s="8"/>
      <c r="H134" s="8"/>
      <c r="I134" s="8"/>
      <c r="J134" s="8"/>
      <c r="K134" s="8"/>
      <c r="L134" s="8"/>
      <c r="M134" s="8"/>
      <c r="N134" s="8"/>
      <c r="O134" s="9"/>
      <c r="P134" s="238"/>
      <c r="Q134" s="12"/>
      <c r="R134" s="8"/>
      <c r="S134" s="8"/>
      <c r="T134" s="8"/>
      <c r="U134" s="8"/>
      <c r="V134" s="8"/>
      <c r="W134" s="8"/>
      <c r="X134" s="8"/>
      <c r="Y134" s="8"/>
      <c r="Z134" s="13"/>
      <c r="AA134" s="238"/>
      <c r="AB134" s="12"/>
      <c r="AC134" s="8"/>
      <c r="AD134" s="8"/>
      <c r="AE134" s="8"/>
      <c r="AF134" s="8"/>
      <c r="AG134" s="8"/>
      <c r="AH134" s="8"/>
      <c r="AI134" s="8"/>
      <c r="AJ134" s="8"/>
      <c r="AK134" s="13"/>
      <c r="AL134" s="238"/>
      <c r="AM134" s="12"/>
      <c r="AN134" s="8"/>
      <c r="AO134" s="8"/>
      <c r="AP134" s="8"/>
      <c r="AQ134" s="8"/>
      <c r="AR134" s="8"/>
      <c r="AS134" s="8"/>
      <c r="AT134" s="8"/>
      <c r="AU134" s="8"/>
      <c r="AV134" s="13"/>
      <c r="AW134" s="238"/>
      <c r="AX134" s="12"/>
      <c r="AY134" s="8"/>
      <c r="AZ134" s="8"/>
      <c r="BA134" s="8"/>
      <c r="BB134" s="8"/>
      <c r="BC134" s="8"/>
      <c r="BD134" s="8"/>
      <c r="BE134" s="8"/>
      <c r="BF134" s="8"/>
      <c r="BG134" s="13"/>
      <c r="BH134" s="238"/>
      <c r="BI134" s="12"/>
      <c r="BJ134" s="8"/>
      <c r="BK134" s="8"/>
      <c r="BL134" s="8"/>
      <c r="BM134" s="8"/>
      <c r="BN134" s="8"/>
      <c r="BO134" s="8"/>
      <c r="BP134" s="8"/>
      <c r="BQ134" s="8"/>
      <c r="BR134" s="13"/>
      <c r="BS134" s="238"/>
      <c r="BT134" s="12"/>
      <c r="BU134" s="8"/>
      <c r="BV134" s="8"/>
      <c r="BW134" s="8"/>
      <c r="BX134" s="8"/>
      <c r="BY134" s="8"/>
      <c r="BZ134" s="8"/>
      <c r="CA134" s="8"/>
      <c r="CB134" s="12"/>
      <c r="CC134" s="8"/>
      <c r="CD134" s="8"/>
      <c r="CE134" s="8"/>
      <c r="CF134" s="8"/>
      <c r="CG134" s="8"/>
      <c r="CH134" s="8"/>
      <c r="CI134" s="238"/>
      <c r="CJ134" s="12"/>
      <c r="CK134" s="8"/>
      <c r="CL134" s="8"/>
      <c r="CM134" s="8"/>
      <c r="CN134" s="8"/>
      <c r="CO134" s="8"/>
      <c r="CP134" s="8"/>
      <c r="CQ134" s="8"/>
      <c r="CR134" s="12"/>
      <c r="CS134" s="8"/>
      <c r="CT134" s="8"/>
      <c r="CU134" s="8"/>
      <c r="CV134" s="8"/>
      <c r="CW134" s="8"/>
      <c r="CX134" s="8"/>
      <c r="CY134" s="238"/>
      <c r="CZ134" s="12"/>
      <c r="DA134" s="8"/>
      <c r="DB134" s="8"/>
      <c r="DC134" s="8"/>
      <c r="DD134" s="8"/>
      <c r="DE134" s="8"/>
      <c r="DF134" s="8"/>
      <c r="DG134" s="8"/>
      <c r="DH134" s="12"/>
      <c r="DI134" s="8"/>
      <c r="DJ134" s="8"/>
      <c r="DK134" s="8"/>
      <c r="DL134" s="8"/>
      <c r="DM134" s="8"/>
      <c r="DN134" s="8"/>
      <c r="DO134" s="238"/>
      <c r="DP134" s="12"/>
      <c r="DQ134" s="8"/>
      <c r="DR134" s="8"/>
      <c r="DS134" s="8"/>
      <c r="DT134" s="8"/>
      <c r="DU134" s="8"/>
      <c r="DV134" s="8"/>
      <c r="DW134" s="8"/>
      <c r="DX134" s="12"/>
      <c r="DY134" s="8"/>
      <c r="DZ134" s="8"/>
      <c r="EA134" s="8"/>
      <c r="EB134" s="8"/>
      <c r="EC134" s="8"/>
      <c r="ED134" s="8"/>
      <c r="EE134" s="238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238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238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238"/>
      <c r="FP134" s="12"/>
      <c r="FQ134" s="12"/>
      <c r="FR134" s="12"/>
      <c r="FS134" s="12"/>
      <c r="FT134" s="12"/>
      <c r="FU134" s="238"/>
      <c r="FV134" s="12"/>
      <c r="FW134" s="12"/>
      <c r="FX134" s="12"/>
      <c r="FY134" s="12"/>
      <c r="FZ134" s="12"/>
      <c r="GA134" s="120"/>
      <c r="GB134" s="118" t="str">
        <f t="shared" si="54"/>
        <v/>
      </c>
      <c r="GC134" s="139" t="str">
        <f t="shared" si="55"/>
        <v/>
      </c>
      <c r="GD134" s="118">
        <f t="shared" si="56"/>
        <v>0</v>
      </c>
      <c r="GE134" s="118">
        <f t="shared" si="57"/>
        <v>0</v>
      </c>
      <c r="GF134" s="118">
        <f t="shared" si="58"/>
        <v>0</v>
      </c>
      <c r="GG134" s="118">
        <f t="shared" si="59"/>
        <v>0</v>
      </c>
      <c r="GH134" s="118">
        <f t="shared" si="60"/>
        <v>0</v>
      </c>
      <c r="GI134" s="118">
        <f t="shared" si="61"/>
        <v>0</v>
      </c>
      <c r="GJ134" s="118">
        <f t="shared" si="62"/>
        <v>0</v>
      </c>
      <c r="GK134" s="118">
        <f t="shared" si="63"/>
        <v>0</v>
      </c>
      <c r="GL134" s="118">
        <f t="shared" si="64"/>
        <v>0</v>
      </c>
      <c r="GM134" s="118">
        <f t="shared" si="65"/>
        <v>0</v>
      </c>
      <c r="GN134" s="118">
        <f t="shared" si="66"/>
        <v>0</v>
      </c>
      <c r="GO134" s="118">
        <f t="shared" si="67"/>
        <v>0</v>
      </c>
      <c r="GP134" s="118">
        <f t="shared" si="68"/>
        <v>0</v>
      </c>
      <c r="GQ134" s="118">
        <f t="shared" si="69"/>
        <v>0</v>
      </c>
      <c r="GR134" s="118">
        <f t="shared" si="70"/>
        <v>0</v>
      </c>
      <c r="GS134" s="121">
        <f t="shared" si="71"/>
        <v>0</v>
      </c>
      <c r="GT134"/>
      <c r="GU134"/>
      <c r="GV134"/>
      <c r="GW134" s="124"/>
      <c r="GX134" s="118"/>
      <c r="GY134" s="118"/>
      <c r="GZ134" s="118"/>
      <c r="HA134" s="118"/>
      <c r="HB134" s="118"/>
      <c r="HC134" s="118"/>
      <c r="HD134" s="118"/>
      <c r="HE134" s="118"/>
      <c r="HF134" s="118"/>
      <c r="HG134" s="118"/>
      <c r="HH134" s="118"/>
      <c r="HI134" s="118"/>
      <c r="HJ134" s="118"/>
      <c r="HK134" s="118"/>
      <c r="HL134" s="118"/>
    </row>
    <row r="135" spans="1:220" s="74" customFormat="1" ht="30" hidden="1" customHeight="1" x14ac:dyDescent="0.35">
      <c r="A135" s="119">
        <v>126</v>
      </c>
      <c r="B135" s="4"/>
      <c r="C135" s="7"/>
      <c r="D135" s="4"/>
      <c r="E135" s="246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P135" s="238"/>
      <c r="Q135" s="14"/>
      <c r="R135" s="10"/>
      <c r="S135" s="10"/>
      <c r="T135" s="10"/>
      <c r="U135" s="10"/>
      <c r="V135" s="10"/>
      <c r="W135" s="10"/>
      <c r="X135" s="10"/>
      <c r="Y135" s="10"/>
      <c r="Z135" s="15"/>
      <c r="AA135" s="238"/>
      <c r="AB135" s="14"/>
      <c r="AC135" s="10"/>
      <c r="AD135" s="10"/>
      <c r="AE135" s="10"/>
      <c r="AF135" s="10"/>
      <c r="AG135" s="10"/>
      <c r="AH135" s="10"/>
      <c r="AI135" s="10"/>
      <c r="AJ135" s="10"/>
      <c r="AK135" s="15"/>
      <c r="AL135" s="238"/>
      <c r="AM135" s="14"/>
      <c r="AN135" s="10"/>
      <c r="AO135" s="10"/>
      <c r="AP135" s="10"/>
      <c r="AQ135" s="10"/>
      <c r="AR135" s="10"/>
      <c r="AS135" s="10"/>
      <c r="AT135" s="10"/>
      <c r="AU135" s="10"/>
      <c r="AV135" s="15"/>
      <c r="AW135" s="238"/>
      <c r="AX135" s="14"/>
      <c r="AY135" s="10"/>
      <c r="AZ135" s="10"/>
      <c r="BA135" s="10"/>
      <c r="BB135" s="10"/>
      <c r="BC135" s="10"/>
      <c r="BD135" s="10"/>
      <c r="BE135" s="10"/>
      <c r="BF135" s="10"/>
      <c r="BG135" s="15"/>
      <c r="BH135" s="238"/>
      <c r="BI135" s="14"/>
      <c r="BJ135" s="10"/>
      <c r="BK135" s="10"/>
      <c r="BL135" s="10"/>
      <c r="BM135" s="10"/>
      <c r="BN135" s="10"/>
      <c r="BO135" s="10"/>
      <c r="BP135" s="10"/>
      <c r="BQ135" s="10"/>
      <c r="BR135" s="15"/>
      <c r="BS135" s="238"/>
      <c r="BT135" s="14"/>
      <c r="BU135" s="10"/>
      <c r="BV135" s="10"/>
      <c r="BW135" s="10"/>
      <c r="BX135" s="10"/>
      <c r="BY135" s="10"/>
      <c r="BZ135" s="10"/>
      <c r="CA135" s="10"/>
      <c r="CB135" s="14"/>
      <c r="CC135" s="10"/>
      <c r="CD135" s="10"/>
      <c r="CE135" s="10"/>
      <c r="CF135" s="10"/>
      <c r="CG135" s="10"/>
      <c r="CH135" s="10"/>
      <c r="CI135" s="238"/>
      <c r="CJ135" s="14"/>
      <c r="CK135" s="10"/>
      <c r="CL135" s="10"/>
      <c r="CM135" s="10"/>
      <c r="CN135" s="10"/>
      <c r="CO135" s="10"/>
      <c r="CP135" s="10"/>
      <c r="CQ135" s="10"/>
      <c r="CR135" s="14"/>
      <c r="CS135" s="10"/>
      <c r="CT135" s="10"/>
      <c r="CU135" s="10"/>
      <c r="CV135" s="10"/>
      <c r="CW135" s="10"/>
      <c r="CX135" s="10"/>
      <c r="CY135" s="238"/>
      <c r="CZ135" s="14"/>
      <c r="DA135" s="10"/>
      <c r="DB135" s="10"/>
      <c r="DC135" s="10"/>
      <c r="DD135" s="10"/>
      <c r="DE135" s="10"/>
      <c r="DF135" s="10"/>
      <c r="DG135" s="10"/>
      <c r="DH135" s="14"/>
      <c r="DI135" s="10"/>
      <c r="DJ135" s="10"/>
      <c r="DK135" s="10"/>
      <c r="DL135" s="10"/>
      <c r="DM135" s="10"/>
      <c r="DN135" s="10"/>
      <c r="DO135" s="238"/>
      <c r="DP135" s="14"/>
      <c r="DQ135" s="10"/>
      <c r="DR135" s="10"/>
      <c r="DS135" s="10"/>
      <c r="DT135" s="10"/>
      <c r="DU135" s="10"/>
      <c r="DV135" s="10"/>
      <c r="DW135" s="10"/>
      <c r="DX135" s="14"/>
      <c r="DY135" s="10"/>
      <c r="DZ135" s="10"/>
      <c r="EA135" s="10"/>
      <c r="EB135" s="10"/>
      <c r="EC135" s="10"/>
      <c r="ED135" s="10"/>
      <c r="EE135" s="238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238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238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238"/>
      <c r="FP135" s="14"/>
      <c r="FQ135" s="14"/>
      <c r="FR135" s="14"/>
      <c r="FS135" s="14"/>
      <c r="FT135" s="14"/>
      <c r="FU135" s="238"/>
      <c r="FV135" s="14"/>
      <c r="FW135" s="14"/>
      <c r="FX135" s="14"/>
      <c r="FY135" s="14"/>
      <c r="FZ135" s="14"/>
      <c r="GA135" s="120"/>
      <c r="GB135" s="122" t="str">
        <f t="shared" si="54"/>
        <v/>
      </c>
      <c r="GC135" s="140" t="str">
        <f t="shared" si="55"/>
        <v/>
      </c>
      <c r="GD135" s="122">
        <f t="shared" si="56"/>
        <v>0</v>
      </c>
      <c r="GE135" s="122">
        <f t="shared" si="57"/>
        <v>0</v>
      </c>
      <c r="GF135" s="122">
        <f t="shared" si="58"/>
        <v>0</v>
      </c>
      <c r="GG135" s="122">
        <f t="shared" si="59"/>
        <v>0</v>
      </c>
      <c r="GH135" s="122">
        <f t="shared" si="60"/>
        <v>0</v>
      </c>
      <c r="GI135" s="122">
        <f t="shared" si="61"/>
        <v>0</v>
      </c>
      <c r="GJ135" s="122">
        <f t="shared" si="62"/>
        <v>0</v>
      </c>
      <c r="GK135" s="122">
        <f t="shared" si="63"/>
        <v>0</v>
      </c>
      <c r="GL135" s="122">
        <f t="shared" si="64"/>
        <v>0</v>
      </c>
      <c r="GM135" s="122">
        <f t="shared" si="65"/>
        <v>0</v>
      </c>
      <c r="GN135" s="122">
        <f t="shared" si="66"/>
        <v>0</v>
      </c>
      <c r="GO135" s="122">
        <f t="shared" si="67"/>
        <v>0</v>
      </c>
      <c r="GP135" s="122">
        <f t="shared" si="68"/>
        <v>0</v>
      </c>
      <c r="GQ135" s="122">
        <f t="shared" si="69"/>
        <v>0</v>
      </c>
      <c r="GR135" s="122">
        <f t="shared" si="70"/>
        <v>0</v>
      </c>
      <c r="GS135" s="123">
        <f t="shared" si="71"/>
        <v>0</v>
      </c>
      <c r="GT135"/>
      <c r="GU135"/>
      <c r="GV135"/>
      <c r="GW135" s="124"/>
      <c r="GX135" s="118"/>
      <c r="GY135" s="118"/>
      <c r="GZ135" s="118"/>
      <c r="HA135" s="118"/>
      <c r="HB135" s="118"/>
      <c r="HC135" s="118"/>
      <c r="HD135" s="118"/>
      <c r="HE135" s="118"/>
      <c r="HF135" s="118"/>
      <c r="HG135" s="118"/>
      <c r="HH135" s="118"/>
      <c r="HI135" s="118"/>
      <c r="HJ135" s="118"/>
      <c r="HK135" s="118"/>
      <c r="HL135" s="118"/>
    </row>
    <row r="136" spans="1:220" s="74" customFormat="1" ht="30" hidden="1" customHeight="1" x14ac:dyDescent="0.35">
      <c r="A136" s="119">
        <v>127</v>
      </c>
      <c r="B136" s="3"/>
      <c r="C136" s="6"/>
      <c r="D136" s="3"/>
      <c r="E136" s="246"/>
      <c r="F136" s="8"/>
      <c r="G136" s="8"/>
      <c r="H136" s="8"/>
      <c r="I136" s="8"/>
      <c r="J136" s="8"/>
      <c r="K136" s="8"/>
      <c r="L136" s="8"/>
      <c r="M136" s="8"/>
      <c r="N136" s="8"/>
      <c r="O136" s="9"/>
      <c r="P136" s="238"/>
      <c r="Q136" s="12"/>
      <c r="R136" s="8"/>
      <c r="S136" s="8"/>
      <c r="T136" s="8"/>
      <c r="U136" s="8"/>
      <c r="V136" s="8"/>
      <c r="W136" s="8"/>
      <c r="X136" s="8"/>
      <c r="Y136" s="8"/>
      <c r="Z136" s="13"/>
      <c r="AA136" s="238"/>
      <c r="AB136" s="12"/>
      <c r="AC136" s="8"/>
      <c r="AD136" s="8"/>
      <c r="AE136" s="8"/>
      <c r="AF136" s="8"/>
      <c r="AG136" s="8"/>
      <c r="AH136" s="8"/>
      <c r="AI136" s="8"/>
      <c r="AJ136" s="8"/>
      <c r="AK136" s="13"/>
      <c r="AL136" s="238"/>
      <c r="AM136" s="12"/>
      <c r="AN136" s="8"/>
      <c r="AO136" s="8"/>
      <c r="AP136" s="8"/>
      <c r="AQ136" s="8"/>
      <c r="AR136" s="8"/>
      <c r="AS136" s="8"/>
      <c r="AT136" s="8"/>
      <c r="AU136" s="8"/>
      <c r="AV136" s="13"/>
      <c r="AW136" s="238"/>
      <c r="AX136" s="12"/>
      <c r="AY136" s="8"/>
      <c r="AZ136" s="8"/>
      <c r="BA136" s="8"/>
      <c r="BB136" s="8"/>
      <c r="BC136" s="8"/>
      <c r="BD136" s="8"/>
      <c r="BE136" s="8"/>
      <c r="BF136" s="8"/>
      <c r="BG136" s="13"/>
      <c r="BH136" s="238"/>
      <c r="BI136" s="12"/>
      <c r="BJ136" s="8"/>
      <c r="BK136" s="8"/>
      <c r="BL136" s="8"/>
      <c r="BM136" s="8"/>
      <c r="BN136" s="8"/>
      <c r="BO136" s="8"/>
      <c r="BP136" s="8"/>
      <c r="BQ136" s="8"/>
      <c r="BR136" s="13"/>
      <c r="BS136" s="238"/>
      <c r="BT136" s="12"/>
      <c r="BU136" s="8"/>
      <c r="BV136" s="8"/>
      <c r="BW136" s="8"/>
      <c r="BX136" s="8"/>
      <c r="BY136" s="8"/>
      <c r="BZ136" s="8"/>
      <c r="CA136" s="8"/>
      <c r="CB136" s="12"/>
      <c r="CC136" s="8"/>
      <c r="CD136" s="8"/>
      <c r="CE136" s="8"/>
      <c r="CF136" s="8"/>
      <c r="CG136" s="8"/>
      <c r="CH136" s="8"/>
      <c r="CI136" s="238"/>
      <c r="CJ136" s="12"/>
      <c r="CK136" s="8"/>
      <c r="CL136" s="8"/>
      <c r="CM136" s="8"/>
      <c r="CN136" s="8"/>
      <c r="CO136" s="8"/>
      <c r="CP136" s="8"/>
      <c r="CQ136" s="8"/>
      <c r="CR136" s="12"/>
      <c r="CS136" s="8"/>
      <c r="CT136" s="8"/>
      <c r="CU136" s="8"/>
      <c r="CV136" s="8"/>
      <c r="CW136" s="8"/>
      <c r="CX136" s="8"/>
      <c r="CY136" s="238"/>
      <c r="CZ136" s="12"/>
      <c r="DA136" s="8"/>
      <c r="DB136" s="8"/>
      <c r="DC136" s="8"/>
      <c r="DD136" s="8"/>
      <c r="DE136" s="8"/>
      <c r="DF136" s="8"/>
      <c r="DG136" s="8"/>
      <c r="DH136" s="12"/>
      <c r="DI136" s="8"/>
      <c r="DJ136" s="8"/>
      <c r="DK136" s="8"/>
      <c r="DL136" s="8"/>
      <c r="DM136" s="8"/>
      <c r="DN136" s="8"/>
      <c r="DO136" s="238"/>
      <c r="DP136" s="12"/>
      <c r="DQ136" s="8"/>
      <c r="DR136" s="8"/>
      <c r="DS136" s="8"/>
      <c r="DT136" s="8"/>
      <c r="DU136" s="8"/>
      <c r="DV136" s="8"/>
      <c r="DW136" s="8"/>
      <c r="DX136" s="12"/>
      <c r="DY136" s="8"/>
      <c r="DZ136" s="8"/>
      <c r="EA136" s="8"/>
      <c r="EB136" s="8"/>
      <c r="EC136" s="8"/>
      <c r="ED136" s="8"/>
      <c r="EE136" s="238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238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238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238"/>
      <c r="FP136" s="12"/>
      <c r="FQ136" s="12"/>
      <c r="FR136" s="12"/>
      <c r="FS136" s="12"/>
      <c r="FT136" s="12"/>
      <c r="FU136" s="238"/>
      <c r="FV136" s="12"/>
      <c r="FW136" s="12"/>
      <c r="FX136" s="12"/>
      <c r="FY136" s="12"/>
      <c r="FZ136" s="12"/>
      <c r="GA136" s="120"/>
      <c r="GB136" s="118" t="str">
        <f t="shared" si="54"/>
        <v/>
      </c>
      <c r="GC136" s="139" t="str">
        <f t="shared" si="55"/>
        <v/>
      </c>
      <c r="GD136" s="118">
        <f t="shared" si="56"/>
        <v>0</v>
      </c>
      <c r="GE136" s="118">
        <f t="shared" si="57"/>
        <v>0</v>
      </c>
      <c r="GF136" s="118">
        <f t="shared" si="58"/>
        <v>0</v>
      </c>
      <c r="GG136" s="118">
        <f t="shared" si="59"/>
        <v>0</v>
      </c>
      <c r="GH136" s="118">
        <f t="shared" si="60"/>
        <v>0</v>
      </c>
      <c r="GI136" s="118">
        <f t="shared" si="61"/>
        <v>0</v>
      </c>
      <c r="GJ136" s="118">
        <f t="shared" si="62"/>
        <v>0</v>
      </c>
      <c r="GK136" s="118">
        <f t="shared" si="63"/>
        <v>0</v>
      </c>
      <c r="GL136" s="118">
        <f t="shared" si="64"/>
        <v>0</v>
      </c>
      <c r="GM136" s="118">
        <f t="shared" si="65"/>
        <v>0</v>
      </c>
      <c r="GN136" s="118">
        <f t="shared" si="66"/>
        <v>0</v>
      </c>
      <c r="GO136" s="118">
        <f t="shared" si="67"/>
        <v>0</v>
      </c>
      <c r="GP136" s="118">
        <f t="shared" si="68"/>
        <v>0</v>
      </c>
      <c r="GQ136" s="118">
        <f t="shared" si="69"/>
        <v>0</v>
      </c>
      <c r="GR136" s="118">
        <f t="shared" si="70"/>
        <v>0</v>
      </c>
      <c r="GS136" s="121">
        <f t="shared" si="71"/>
        <v>0</v>
      </c>
      <c r="GT136"/>
      <c r="GU136"/>
      <c r="GV136"/>
      <c r="GW136" s="124"/>
      <c r="GX136" s="118"/>
      <c r="GY136" s="118"/>
      <c r="GZ136" s="118"/>
      <c r="HA136" s="118"/>
      <c r="HB136" s="118"/>
      <c r="HC136" s="118"/>
      <c r="HD136" s="118"/>
      <c r="HE136" s="118"/>
      <c r="HF136" s="118"/>
      <c r="HG136" s="118"/>
      <c r="HH136" s="118"/>
      <c r="HI136" s="118"/>
      <c r="HJ136" s="118"/>
      <c r="HK136" s="118"/>
      <c r="HL136" s="118"/>
    </row>
    <row r="137" spans="1:220" s="74" customFormat="1" ht="30" hidden="1" customHeight="1" x14ac:dyDescent="0.35">
      <c r="A137" s="119">
        <v>128</v>
      </c>
      <c r="B137" s="4"/>
      <c r="C137" s="7"/>
      <c r="D137" s="4"/>
      <c r="E137" s="246"/>
      <c r="F137" s="10"/>
      <c r="G137" s="10"/>
      <c r="H137" s="10"/>
      <c r="I137" s="10"/>
      <c r="J137" s="10"/>
      <c r="K137" s="10"/>
      <c r="L137" s="10"/>
      <c r="M137" s="10"/>
      <c r="N137" s="10"/>
      <c r="O137" s="11"/>
      <c r="P137" s="238"/>
      <c r="Q137" s="14"/>
      <c r="R137" s="10"/>
      <c r="S137" s="10"/>
      <c r="T137" s="10"/>
      <c r="U137" s="10"/>
      <c r="V137" s="10"/>
      <c r="W137" s="10"/>
      <c r="X137" s="10"/>
      <c r="Y137" s="10"/>
      <c r="Z137" s="15"/>
      <c r="AA137" s="238"/>
      <c r="AB137" s="14"/>
      <c r="AC137" s="10"/>
      <c r="AD137" s="10"/>
      <c r="AE137" s="10"/>
      <c r="AF137" s="10"/>
      <c r="AG137" s="10"/>
      <c r="AH137" s="10"/>
      <c r="AI137" s="10"/>
      <c r="AJ137" s="10"/>
      <c r="AK137" s="15"/>
      <c r="AL137" s="238"/>
      <c r="AM137" s="14"/>
      <c r="AN137" s="10"/>
      <c r="AO137" s="10"/>
      <c r="AP137" s="10"/>
      <c r="AQ137" s="10"/>
      <c r="AR137" s="10"/>
      <c r="AS137" s="10"/>
      <c r="AT137" s="10"/>
      <c r="AU137" s="10"/>
      <c r="AV137" s="15"/>
      <c r="AW137" s="238"/>
      <c r="AX137" s="14"/>
      <c r="AY137" s="10"/>
      <c r="AZ137" s="10"/>
      <c r="BA137" s="10"/>
      <c r="BB137" s="10"/>
      <c r="BC137" s="10"/>
      <c r="BD137" s="10"/>
      <c r="BE137" s="10"/>
      <c r="BF137" s="10"/>
      <c r="BG137" s="15"/>
      <c r="BH137" s="238"/>
      <c r="BI137" s="14"/>
      <c r="BJ137" s="10"/>
      <c r="BK137" s="10"/>
      <c r="BL137" s="10"/>
      <c r="BM137" s="10"/>
      <c r="BN137" s="10"/>
      <c r="BO137" s="10"/>
      <c r="BP137" s="10"/>
      <c r="BQ137" s="10"/>
      <c r="BR137" s="15"/>
      <c r="BS137" s="238"/>
      <c r="BT137" s="14"/>
      <c r="BU137" s="10"/>
      <c r="BV137" s="10"/>
      <c r="BW137" s="10"/>
      <c r="BX137" s="10"/>
      <c r="BY137" s="10"/>
      <c r="BZ137" s="10"/>
      <c r="CA137" s="10"/>
      <c r="CB137" s="14"/>
      <c r="CC137" s="10"/>
      <c r="CD137" s="10"/>
      <c r="CE137" s="10"/>
      <c r="CF137" s="10"/>
      <c r="CG137" s="10"/>
      <c r="CH137" s="10"/>
      <c r="CI137" s="238"/>
      <c r="CJ137" s="14"/>
      <c r="CK137" s="10"/>
      <c r="CL137" s="10"/>
      <c r="CM137" s="10"/>
      <c r="CN137" s="10"/>
      <c r="CO137" s="10"/>
      <c r="CP137" s="10"/>
      <c r="CQ137" s="10"/>
      <c r="CR137" s="14"/>
      <c r="CS137" s="10"/>
      <c r="CT137" s="10"/>
      <c r="CU137" s="10"/>
      <c r="CV137" s="10"/>
      <c r="CW137" s="10"/>
      <c r="CX137" s="10"/>
      <c r="CY137" s="238"/>
      <c r="CZ137" s="14"/>
      <c r="DA137" s="10"/>
      <c r="DB137" s="10"/>
      <c r="DC137" s="10"/>
      <c r="DD137" s="10"/>
      <c r="DE137" s="10"/>
      <c r="DF137" s="10"/>
      <c r="DG137" s="10"/>
      <c r="DH137" s="14"/>
      <c r="DI137" s="10"/>
      <c r="DJ137" s="10"/>
      <c r="DK137" s="10"/>
      <c r="DL137" s="10"/>
      <c r="DM137" s="10"/>
      <c r="DN137" s="10"/>
      <c r="DO137" s="238"/>
      <c r="DP137" s="14"/>
      <c r="DQ137" s="10"/>
      <c r="DR137" s="10"/>
      <c r="DS137" s="10"/>
      <c r="DT137" s="10"/>
      <c r="DU137" s="10"/>
      <c r="DV137" s="10"/>
      <c r="DW137" s="10"/>
      <c r="DX137" s="14"/>
      <c r="DY137" s="10"/>
      <c r="DZ137" s="10"/>
      <c r="EA137" s="10"/>
      <c r="EB137" s="10"/>
      <c r="EC137" s="10"/>
      <c r="ED137" s="10"/>
      <c r="EE137" s="238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238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238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238"/>
      <c r="FP137" s="14"/>
      <c r="FQ137" s="14"/>
      <c r="FR137" s="14"/>
      <c r="FS137" s="14"/>
      <c r="FT137" s="14"/>
      <c r="FU137" s="238"/>
      <c r="FV137" s="14"/>
      <c r="FW137" s="14"/>
      <c r="FX137" s="14"/>
      <c r="FY137" s="14"/>
      <c r="FZ137" s="14"/>
      <c r="GA137" s="120"/>
      <c r="GB137" s="122" t="str">
        <f t="shared" si="54"/>
        <v/>
      </c>
      <c r="GC137" s="140" t="str">
        <f t="shared" si="55"/>
        <v/>
      </c>
      <c r="GD137" s="122">
        <f t="shared" si="56"/>
        <v>0</v>
      </c>
      <c r="GE137" s="122">
        <f t="shared" si="57"/>
        <v>0</v>
      </c>
      <c r="GF137" s="122">
        <f t="shared" si="58"/>
        <v>0</v>
      </c>
      <c r="GG137" s="122">
        <f t="shared" si="59"/>
        <v>0</v>
      </c>
      <c r="GH137" s="122">
        <f t="shared" si="60"/>
        <v>0</v>
      </c>
      <c r="GI137" s="122">
        <f t="shared" si="61"/>
        <v>0</v>
      </c>
      <c r="GJ137" s="122">
        <f t="shared" si="62"/>
        <v>0</v>
      </c>
      <c r="GK137" s="122">
        <f t="shared" si="63"/>
        <v>0</v>
      </c>
      <c r="GL137" s="122">
        <f t="shared" si="64"/>
        <v>0</v>
      </c>
      <c r="GM137" s="122">
        <f t="shared" si="65"/>
        <v>0</v>
      </c>
      <c r="GN137" s="122">
        <f t="shared" si="66"/>
        <v>0</v>
      </c>
      <c r="GO137" s="122">
        <f t="shared" si="67"/>
        <v>0</v>
      </c>
      <c r="GP137" s="122">
        <f t="shared" si="68"/>
        <v>0</v>
      </c>
      <c r="GQ137" s="122">
        <f t="shared" si="69"/>
        <v>0</v>
      </c>
      <c r="GR137" s="122">
        <f t="shared" si="70"/>
        <v>0</v>
      </c>
      <c r="GS137" s="123">
        <f t="shared" si="71"/>
        <v>0</v>
      </c>
      <c r="GT137"/>
      <c r="GU137"/>
      <c r="GV137"/>
      <c r="GW137" s="124"/>
      <c r="GX137" s="118"/>
      <c r="GY137" s="118"/>
      <c r="GZ137" s="118"/>
      <c r="HA137" s="118"/>
      <c r="HB137" s="118"/>
      <c r="HC137" s="118"/>
      <c r="HD137" s="118"/>
      <c r="HE137" s="118"/>
      <c r="HF137" s="118"/>
      <c r="HG137" s="118"/>
      <c r="HH137" s="118"/>
      <c r="HI137" s="118"/>
      <c r="HJ137" s="118"/>
      <c r="HK137" s="118"/>
      <c r="HL137" s="118"/>
    </row>
    <row r="138" spans="1:220" s="74" customFormat="1" ht="30" hidden="1" customHeight="1" x14ac:dyDescent="0.35">
      <c r="A138" s="119">
        <v>129</v>
      </c>
      <c r="B138" s="3"/>
      <c r="C138" s="6"/>
      <c r="D138" s="3"/>
      <c r="E138" s="246"/>
      <c r="F138" s="8"/>
      <c r="G138" s="8"/>
      <c r="H138" s="8"/>
      <c r="I138" s="8"/>
      <c r="J138" s="8"/>
      <c r="K138" s="8"/>
      <c r="L138" s="8"/>
      <c r="M138" s="8"/>
      <c r="N138" s="8"/>
      <c r="O138" s="9"/>
      <c r="P138" s="238"/>
      <c r="Q138" s="12"/>
      <c r="R138" s="8"/>
      <c r="S138" s="8"/>
      <c r="T138" s="8"/>
      <c r="U138" s="8"/>
      <c r="V138" s="8"/>
      <c r="W138" s="8"/>
      <c r="X138" s="8"/>
      <c r="Y138" s="8"/>
      <c r="Z138" s="13"/>
      <c r="AA138" s="238"/>
      <c r="AB138" s="12"/>
      <c r="AC138" s="8"/>
      <c r="AD138" s="8"/>
      <c r="AE138" s="8"/>
      <c r="AF138" s="8"/>
      <c r="AG138" s="8"/>
      <c r="AH138" s="8"/>
      <c r="AI138" s="8"/>
      <c r="AJ138" s="8"/>
      <c r="AK138" s="13"/>
      <c r="AL138" s="238"/>
      <c r="AM138" s="12"/>
      <c r="AN138" s="8"/>
      <c r="AO138" s="8"/>
      <c r="AP138" s="8"/>
      <c r="AQ138" s="8"/>
      <c r="AR138" s="8"/>
      <c r="AS138" s="8"/>
      <c r="AT138" s="8"/>
      <c r="AU138" s="8"/>
      <c r="AV138" s="13"/>
      <c r="AW138" s="238"/>
      <c r="AX138" s="12"/>
      <c r="AY138" s="8"/>
      <c r="AZ138" s="8"/>
      <c r="BA138" s="8"/>
      <c r="BB138" s="8"/>
      <c r="BC138" s="8"/>
      <c r="BD138" s="8"/>
      <c r="BE138" s="8"/>
      <c r="BF138" s="8"/>
      <c r="BG138" s="13"/>
      <c r="BH138" s="238"/>
      <c r="BI138" s="12"/>
      <c r="BJ138" s="8"/>
      <c r="BK138" s="8"/>
      <c r="BL138" s="8"/>
      <c r="BM138" s="8"/>
      <c r="BN138" s="8"/>
      <c r="BO138" s="8"/>
      <c r="BP138" s="8"/>
      <c r="BQ138" s="8"/>
      <c r="BR138" s="13"/>
      <c r="BS138" s="238"/>
      <c r="BT138" s="12"/>
      <c r="BU138" s="8"/>
      <c r="BV138" s="8"/>
      <c r="BW138" s="8"/>
      <c r="BX138" s="8"/>
      <c r="BY138" s="8"/>
      <c r="BZ138" s="8"/>
      <c r="CA138" s="8"/>
      <c r="CB138" s="12"/>
      <c r="CC138" s="8"/>
      <c r="CD138" s="8"/>
      <c r="CE138" s="8"/>
      <c r="CF138" s="8"/>
      <c r="CG138" s="8"/>
      <c r="CH138" s="8"/>
      <c r="CI138" s="238"/>
      <c r="CJ138" s="12"/>
      <c r="CK138" s="8"/>
      <c r="CL138" s="8"/>
      <c r="CM138" s="8"/>
      <c r="CN138" s="8"/>
      <c r="CO138" s="8"/>
      <c r="CP138" s="8"/>
      <c r="CQ138" s="8"/>
      <c r="CR138" s="12"/>
      <c r="CS138" s="8"/>
      <c r="CT138" s="8"/>
      <c r="CU138" s="8"/>
      <c r="CV138" s="8"/>
      <c r="CW138" s="8"/>
      <c r="CX138" s="8"/>
      <c r="CY138" s="238"/>
      <c r="CZ138" s="12"/>
      <c r="DA138" s="8"/>
      <c r="DB138" s="8"/>
      <c r="DC138" s="8"/>
      <c r="DD138" s="8"/>
      <c r="DE138" s="8"/>
      <c r="DF138" s="8"/>
      <c r="DG138" s="8"/>
      <c r="DH138" s="12"/>
      <c r="DI138" s="8"/>
      <c r="DJ138" s="8"/>
      <c r="DK138" s="8"/>
      <c r="DL138" s="8"/>
      <c r="DM138" s="8"/>
      <c r="DN138" s="8"/>
      <c r="DO138" s="238"/>
      <c r="DP138" s="12"/>
      <c r="DQ138" s="8"/>
      <c r="DR138" s="8"/>
      <c r="DS138" s="8"/>
      <c r="DT138" s="8"/>
      <c r="DU138" s="8"/>
      <c r="DV138" s="8"/>
      <c r="DW138" s="8"/>
      <c r="DX138" s="12"/>
      <c r="DY138" s="8"/>
      <c r="DZ138" s="8"/>
      <c r="EA138" s="8"/>
      <c r="EB138" s="8"/>
      <c r="EC138" s="8"/>
      <c r="ED138" s="8"/>
      <c r="EE138" s="238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238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238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238"/>
      <c r="FP138" s="12"/>
      <c r="FQ138" s="12"/>
      <c r="FR138" s="12"/>
      <c r="FS138" s="12"/>
      <c r="FT138" s="12"/>
      <c r="FU138" s="238"/>
      <c r="FV138" s="12"/>
      <c r="FW138" s="12"/>
      <c r="FX138" s="12"/>
      <c r="FY138" s="12"/>
      <c r="FZ138" s="12"/>
      <c r="GA138" s="120"/>
      <c r="GB138" s="118" t="str">
        <f t="shared" ref="GB138:GB159" si="72">IF(B138="","",B138)</f>
        <v/>
      </c>
      <c r="GC138" s="139" t="str">
        <f t="shared" ref="GC138:GC159" si="73">IF(C138="","",C138)</f>
        <v/>
      </c>
      <c r="GD138" s="118">
        <f t="shared" ref="GD138:GD159" si="74">SUM(F138:O138)</f>
        <v>0</v>
      </c>
      <c r="GE138" s="118">
        <f t="shared" ref="GE138:GE159" si="75">SUM(Q138:Z138)</f>
        <v>0</v>
      </c>
      <c r="GF138" s="118">
        <f t="shared" ref="GF138:GF159" si="76">SUM(AB138:AK138)</f>
        <v>0</v>
      </c>
      <c r="GG138" s="118">
        <f t="shared" ref="GG138:GG159" si="77">SUM(AM138:AV138)</f>
        <v>0</v>
      </c>
      <c r="GH138" s="118">
        <f t="shared" ref="GH138:GH159" si="78">SUM(AX138:BG138)</f>
        <v>0</v>
      </c>
      <c r="GI138" s="118">
        <f t="shared" ref="GI138:GI159" si="79">SUM(BI138:BR138)</f>
        <v>0</v>
      </c>
      <c r="GJ138" s="118">
        <f t="shared" ref="GJ138:GJ159" si="80">SUM(BT138:CH138)</f>
        <v>0</v>
      </c>
      <c r="GK138" s="118">
        <f t="shared" ref="GK138:GK159" si="81">SUM(CJ138:CX138)</f>
        <v>0</v>
      </c>
      <c r="GL138" s="118">
        <f t="shared" ref="GL138:GL159" si="82">SUM(CZ138:DN138)</f>
        <v>0</v>
      </c>
      <c r="GM138" s="118">
        <f t="shared" ref="GM138:GM159" si="83">SUM(DP138:ED138)</f>
        <v>0</v>
      </c>
      <c r="GN138" s="118">
        <f t="shared" ref="GN138:GN159" si="84">SUM(EF138:EP138)</f>
        <v>0</v>
      </c>
      <c r="GO138" s="118">
        <f t="shared" ref="GO138:GO159" si="85">SUM(ER138:FB138)</f>
        <v>0</v>
      </c>
      <c r="GP138" s="118">
        <f t="shared" ref="GP138:GP159" si="86">SUM(FD138:FN138)</f>
        <v>0</v>
      </c>
      <c r="GQ138" s="118">
        <f t="shared" ref="GQ138:GQ159" si="87">SUM(FP138:FT138)</f>
        <v>0</v>
      </c>
      <c r="GR138" s="118">
        <f t="shared" ref="GR138:GR159" si="88">SUM(FV138:FZ138)</f>
        <v>0</v>
      </c>
      <c r="GS138" s="121">
        <f t="shared" ref="GS138:GS159" si="89">SUM(GD138:GR138)</f>
        <v>0</v>
      </c>
      <c r="GT138"/>
      <c r="GU138"/>
      <c r="GV138"/>
      <c r="GW138" s="124"/>
      <c r="GX138" s="118"/>
      <c r="GY138" s="118"/>
      <c r="GZ138" s="118"/>
      <c r="HA138" s="118"/>
      <c r="HB138" s="118"/>
      <c r="HC138" s="118"/>
      <c r="HD138" s="118"/>
      <c r="HE138" s="118"/>
      <c r="HF138" s="118"/>
      <c r="HG138" s="118"/>
      <c r="HH138" s="118"/>
      <c r="HI138" s="118"/>
      <c r="HJ138" s="118"/>
      <c r="HK138" s="118"/>
      <c r="HL138" s="118"/>
    </row>
    <row r="139" spans="1:220" s="74" customFormat="1" ht="30" hidden="1" customHeight="1" x14ac:dyDescent="0.35">
      <c r="A139" s="119">
        <v>130</v>
      </c>
      <c r="B139" s="4"/>
      <c r="C139" s="7"/>
      <c r="D139" s="4"/>
      <c r="E139" s="246"/>
      <c r="F139" s="10"/>
      <c r="G139" s="10"/>
      <c r="H139" s="10"/>
      <c r="I139" s="10"/>
      <c r="J139" s="10"/>
      <c r="K139" s="10"/>
      <c r="L139" s="10"/>
      <c r="M139" s="10"/>
      <c r="N139" s="10"/>
      <c r="O139" s="11"/>
      <c r="P139" s="238"/>
      <c r="Q139" s="14"/>
      <c r="R139" s="10"/>
      <c r="S139" s="10"/>
      <c r="T139" s="10"/>
      <c r="U139" s="10"/>
      <c r="V139" s="10"/>
      <c r="W139" s="10"/>
      <c r="X139" s="10"/>
      <c r="Y139" s="10"/>
      <c r="Z139" s="15"/>
      <c r="AA139" s="238"/>
      <c r="AB139" s="14"/>
      <c r="AC139" s="10"/>
      <c r="AD139" s="10"/>
      <c r="AE139" s="10"/>
      <c r="AF139" s="10"/>
      <c r="AG139" s="10"/>
      <c r="AH139" s="10"/>
      <c r="AI139" s="10"/>
      <c r="AJ139" s="10"/>
      <c r="AK139" s="15"/>
      <c r="AL139" s="238"/>
      <c r="AM139" s="14"/>
      <c r="AN139" s="10"/>
      <c r="AO139" s="10"/>
      <c r="AP139" s="10"/>
      <c r="AQ139" s="10"/>
      <c r="AR139" s="10"/>
      <c r="AS139" s="10"/>
      <c r="AT139" s="10"/>
      <c r="AU139" s="10"/>
      <c r="AV139" s="15"/>
      <c r="AW139" s="238"/>
      <c r="AX139" s="14"/>
      <c r="AY139" s="10"/>
      <c r="AZ139" s="10"/>
      <c r="BA139" s="10"/>
      <c r="BB139" s="10"/>
      <c r="BC139" s="10"/>
      <c r="BD139" s="10"/>
      <c r="BE139" s="10"/>
      <c r="BF139" s="10"/>
      <c r="BG139" s="15"/>
      <c r="BH139" s="238"/>
      <c r="BI139" s="14"/>
      <c r="BJ139" s="10"/>
      <c r="BK139" s="10"/>
      <c r="BL139" s="10"/>
      <c r="BM139" s="10"/>
      <c r="BN139" s="10"/>
      <c r="BO139" s="10"/>
      <c r="BP139" s="10"/>
      <c r="BQ139" s="10"/>
      <c r="BR139" s="15"/>
      <c r="BS139" s="238"/>
      <c r="BT139" s="14"/>
      <c r="BU139" s="10"/>
      <c r="BV139" s="10"/>
      <c r="BW139" s="10"/>
      <c r="BX139" s="10"/>
      <c r="BY139" s="10"/>
      <c r="BZ139" s="10"/>
      <c r="CA139" s="10"/>
      <c r="CB139" s="14"/>
      <c r="CC139" s="10"/>
      <c r="CD139" s="10"/>
      <c r="CE139" s="10"/>
      <c r="CF139" s="10"/>
      <c r="CG139" s="10"/>
      <c r="CH139" s="10"/>
      <c r="CI139" s="238"/>
      <c r="CJ139" s="14"/>
      <c r="CK139" s="10"/>
      <c r="CL139" s="10"/>
      <c r="CM139" s="10"/>
      <c r="CN139" s="10"/>
      <c r="CO139" s="10"/>
      <c r="CP139" s="10"/>
      <c r="CQ139" s="10"/>
      <c r="CR139" s="14"/>
      <c r="CS139" s="10"/>
      <c r="CT139" s="10"/>
      <c r="CU139" s="10"/>
      <c r="CV139" s="10"/>
      <c r="CW139" s="10"/>
      <c r="CX139" s="10"/>
      <c r="CY139" s="238"/>
      <c r="CZ139" s="14"/>
      <c r="DA139" s="10"/>
      <c r="DB139" s="10"/>
      <c r="DC139" s="10"/>
      <c r="DD139" s="10"/>
      <c r="DE139" s="10"/>
      <c r="DF139" s="10"/>
      <c r="DG139" s="10"/>
      <c r="DH139" s="14"/>
      <c r="DI139" s="10"/>
      <c r="DJ139" s="10"/>
      <c r="DK139" s="10"/>
      <c r="DL139" s="10"/>
      <c r="DM139" s="10"/>
      <c r="DN139" s="10"/>
      <c r="DO139" s="238"/>
      <c r="DP139" s="14"/>
      <c r="DQ139" s="10"/>
      <c r="DR139" s="10"/>
      <c r="DS139" s="10"/>
      <c r="DT139" s="10"/>
      <c r="DU139" s="10"/>
      <c r="DV139" s="10"/>
      <c r="DW139" s="10"/>
      <c r="DX139" s="14"/>
      <c r="DY139" s="10"/>
      <c r="DZ139" s="10"/>
      <c r="EA139" s="10"/>
      <c r="EB139" s="10"/>
      <c r="EC139" s="10"/>
      <c r="ED139" s="10"/>
      <c r="EE139" s="238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238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238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238"/>
      <c r="FP139" s="14"/>
      <c r="FQ139" s="14"/>
      <c r="FR139" s="14"/>
      <c r="FS139" s="14"/>
      <c r="FT139" s="14"/>
      <c r="FU139" s="238"/>
      <c r="FV139" s="14"/>
      <c r="FW139" s="14"/>
      <c r="FX139" s="14"/>
      <c r="FY139" s="14"/>
      <c r="FZ139" s="14"/>
      <c r="GA139" s="120"/>
      <c r="GB139" s="122" t="str">
        <f t="shared" si="72"/>
        <v/>
      </c>
      <c r="GC139" s="140" t="str">
        <f t="shared" si="73"/>
        <v/>
      </c>
      <c r="GD139" s="122">
        <f t="shared" si="74"/>
        <v>0</v>
      </c>
      <c r="GE139" s="122">
        <f t="shared" si="75"/>
        <v>0</v>
      </c>
      <c r="GF139" s="122">
        <f t="shared" si="76"/>
        <v>0</v>
      </c>
      <c r="GG139" s="122">
        <f t="shared" si="77"/>
        <v>0</v>
      </c>
      <c r="GH139" s="122">
        <f t="shared" si="78"/>
        <v>0</v>
      </c>
      <c r="GI139" s="122">
        <f t="shared" si="79"/>
        <v>0</v>
      </c>
      <c r="GJ139" s="122">
        <f t="shared" si="80"/>
        <v>0</v>
      </c>
      <c r="GK139" s="122">
        <f t="shared" si="81"/>
        <v>0</v>
      </c>
      <c r="GL139" s="122">
        <f t="shared" si="82"/>
        <v>0</v>
      </c>
      <c r="GM139" s="122">
        <f t="shared" si="83"/>
        <v>0</v>
      </c>
      <c r="GN139" s="122">
        <f t="shared" si="84"/>
        <v>0</v>
      </c>
      <c r="GO139" s="122">
        <f t="shared" si="85"/>
        <v>0</v>
      </c>
      <c r="GP139" s="122">
        <f t="shared" si="86"/>
        <v>0</v>
      </c>
      <c r="GQ139" s="122">
        <f t="shared" si="87"/>
        <v>0</v>
      </c>
      <c r="GR139" s="122">
        <f t="shared" si="88"/>
        <v>0</v>
      </c>
      <c r="GS139" s="123">
        <f t="shared" si="89"/>
        <v>0</v>
      </c>
      <c r="GT139"/>
      <c r="GU139"/>
      <c r="GV139"/>
      <c r="GW139" s="124"/>
      <c r="GX139" s="118"/>
      <c r="GY139" s="118"/>
      <c r="GZ139" s="118"/>
      <c r="HA139" s="118"/>
      <c r="HB139" s="118"/>
      <c r="HC139" s="118"/>
      <c r="HD139" s="118"/>
      <c r="HE139" s="118"/>
      <c r="HF139" s="118"/>
      <c r="HG139" s="118"/>
      <c r="HH139" s="118"/>
      <c r="HI139" s="118"/>
      <c r="HJ139" s="118"/>
      <c r="HK139" s="118"/>
      <c r="HL139" s="118"/>
    </row>
    <row r="140" spans="1:220" s="74" customFormat="1" ht="30" hidden="1" customHeight="1" x14ac:dyDescent="0.35">
      <c r="A140" s="119">
        <v>131</v>
      </c>
      <c r="B140" s="3"/>
      <c r="C140" s="6"/>
      <c r="D140" s="3"/>
      <c r="E140" s="246"/>
      <c r="F140" s="8"/>
      <c r="G140" s="8"/>
      <c r="H140" s="8"/>
      <c r="I140" s="8"/>
      <c r="J140" s="8"/>
      <c r="K140" s="8"/>
      <c r="L140" s="8"/>
      <c r="M140" s="8"/>
      <c r="N140" s="8"/>
      <c r="O140" s="9"/>
      <c r="P140" s="238"/>
      <c r="Q140" s="12"/>
      <c r="R140" s="8"/>
      <c r="S140" s="8"/>
      <c r="T140" s="8"/>
      <c r="U140" s="8"/>
      <c r="V140" s="8"/>
      <c r="W140" s="8"/>
      <c r="X140" s="8"/>
      <c r="Y140" s="8"/>
      <c r="Z140" s="13"/>
      <c r="AA140" s="238"/>
      <c r="AB140" s="12"/>
      <c r="AC140" s="8"/>
      <c r="AD140" s="8"/>
      <c r="AE140" s="8"/>
      <c r="AF140" s="8"/>
      <c r="AG140" s="8"/>
      <c r="AH140" s="8"/>
      <c r="AI140" s="8"/>
      <c r="AJ140" s="8"/>
      <c r="AK140" s="13"/>
      <c r="AL140" s="238"/>
      <c r="AM140" s="12"/>
      <c r="AN140" s="8"/>
      <c r="AO140" s="8"/>
      <c r="AP140" s="8"/>
      <c r="AQ140" s="8"/>
      <c r="AR140" s="8"/>
      <c r="AS140" s="8"/>
      <c r="AT140" s="8"/>
      <c r="AU140" s="8"/>
      <c r="AV140" s="13"/>
      <c r="AW140" s="238"/>
      <c r="AX140" s="12"/>
      <c r="AY140" s="8"/>
      <c r="AZ140" s="8"/>
      <c r="BA140" s="8"/>
      <c r="BB140" s="8"/>
      <c r="BC140" s="8"/>
      <c r="BD140" s="8"/>
      <c r="BE140" s="8"/>
      <c r="BF140" s="8"/>
      <c r="BG140" s="13"/>
      <c r="BH140" s="238"/>
      <c r="BI140" s="12"/>
      <c r="BJ140" s="8"/>
      <c r="BK140" s="8"/>
      <c r="BL140" s="8"/>
      <c r="BM140" s="8"/>
      <c r="BN140" s="8"/>
      <c r="BO140" s="8"/>
      <c r="BP140" s="8"/>
      <c r="BQ140" s="8"/>
      <c r="BR140" s="13"/>
      <c r="BS140" s="238"/>
      <c r="BT140" s="12"/>
      <c r="BU140" s="8"/>
      <c r="BV140" s="8"/>
      <c r="BW140" s="8"/>
      <c r="BX140" s="8"/>
      <c r="BY140" s="8"/>
      <c r="BZ140" s="8"/>
      <c r="CA140" s="8"/>
      <c r="CB140" s="12"/>
      <c r="CC140" s="8"/>
      <c r="CD140" s="8"/>
      <c r="CE140" s="8"/>
      <c r="CF140" s="8"/>
      <c r="CG140" s="8"/>
      <c r="CH140" s="8"/>
      <c r="CI140" s="238"/>
      <c r="CJ140" s="12"/>
      <c r="CK140" s="8"/>
      <c r="CL140" s="8"/>
      <c r="CM140" s="8"/>
      <c r="CN140" s="8"/>
      <c r="CO140" s="8"/>
      <c r="CP140" s="8"/>
      <c r="CQ140" s="8"/>
      <c r="CR140" s="12"/>
      <c r="CS140" s="8"/>
      <c r="CT140" s="8"/>
      <c r="CU140" s="8"/>
      <c r="CV140" s="8"/>
      <c r="CW140" s="8"/>
      <c r="CX140" s="8"/>
      <c r="CY140" s="238"/>
      <c r="CZ140" s="12"/>
      <c r="DA140" s="8"/>
      <c r="DB140" s="8"/>
      <c r="DC140" s="8"/>
      <c r="DD140" s="8"/>
      <c r="DE140" s="8"/>
      <c r="DF140" s="8"/>
      <c r="DG140" s="8"/>
      <c r="DH140" s="12"/>
      <c r="DI140" s="8"/>
      <c r="DJ140" s="8"/>
      <c r="DK140" s="8"/>
      <c r="DL140" s="8"/>
      <c r="DM140" s="8"/>
      <c r="DN140" s="8"/>
      <c r="DO140" s="238"/>
      <c r="DP140" s="12"/>
      <c r="DQ140" s="8"/>
      <c r="DR140" s="8"/>
      <c r="DS140" s="8"/>
      <c r="DT140" s="8"/>
      <c r="DU140" s="8"/>
      <c r="DV140" s="8"/>
      <c r="DW140" s="8"/>
      <c r="DX140" s="12"/>
      <c r="DY140" s="8"/>
      <c r="DZ140" s="8"/>
      <c r="EA140" s="8"/>
      <c r="EB140" s="8"/>
      <c r="EC140" s="8"/>
      <c r="ED140" s="8"/>
      <c r="EE140" s="238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238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238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238"/>
      <c r="FP140" s="12"/>
      <c r="FQ140" s="12"/>
      <c r="FR140" s="12"/>
      <c r="FS140" s="12"/>
      <c r="FT140" s="12"/>
      <c r="FU140" s="238"/>
      <c r="FV140" s="12"/>
      <c r="FW140" s="12"/>
      <c r="FX140" s="12"/>
      <c r="FY140" s="12"/>
      <c r="FZ140" s="12"/>
      <c r="GA140" s="120"/>
      <c r="GB140" s="118" t="str">
        <f t="shared" si="72"/>
        <v/>
      </c>
      <c r="GC140" s="139" t="str">
        <f t="shared" si="73"/>
        <v/>
      </c>
      <c r="GD140" s="118">
        <f t="shared" si="74"/>
        <v>0</v>
      </c>
      <c r="GE140" s="118">
        <f t="shared" si="75"/>
        <v>0</v>
      </c>
      <c r="GF140" s="118">
        <f t="shared" si="76"/>
        <v>0</v>
      </c>
      <c r="GG140" s="118">
        <f t="shared" si="77"/>
        <v>0</v>
      </c>
      <c r="GH140" s="118">
        <f t="shared" si="78"/>
        <v>0</v>
      </c>
      <c r="GI140" s="118">
        <f t="shared" si="79"/>
        <v>0</v>
      </c>
      <c r="GJ140" s="118">
        <f t="shared" si="80"/>
        <v>0</v>
      </c>
      <c r="GK140" s="118">
        <f t="shared" si="81"/>
        <v>0</v>
      </c>
      <c r="GL140" s="118">
        <f t="shared" si="82"/>
        <v>0</v>
      </c>
      <c r="GM140" s="118">
        <f t="shared" si="83"/>
        <v>0</v>
      </c>
      <c r="GN140" s="118">
        <f t="shared" si="84"/>
        <v>0</v>
      </c>
      <c r="GO140" s="118">
        <f t="shared" si="85"/>
        <v>0</v>
      </c>
      <c r="GP140" s="118">
        <f t="shared" si="86"/>
        <v>0</v>
      </c>
      <c r="GQ140" s="118">
        <f t="shared" si="87"/>
        <v>0</v>
      </c>
      <c r="GR140" s="118">
        <f t="shared" si="88"/>
        <v>0</v>
      </c>
      <c r="GS140" s="121">
        <f t="shared" si="89"/>
        <v>0</v>
      </c>
      <c r="GT140"/>
      <c r="GU140"/>
      <c r="GV140"/>
      <c r="GW140" s="124"/>
      <c r="GX140" s="118"/>
      <c r="GY140" s="118"/>
      <c r="GZ140" s="118"/>
      <c r="HA140" s="118"/>
      <c r="HB140" s="118"/>
      <c r="HC140" s="118"/>
      <c r="HD140" s="118"/>
      <c r="HE140" s="118"/>
      <c r="HF140" s="118"/>
      <c r="HG140" s="118"/>
      <c r="HH140" s="118"/>
      <c r="HI140" s="118"/>
      <c r="HJ140" s="118"/>
      <c r="HK140" s="118"/>
      <c r="HL140" s="118"/>
    </row>
    <row r="141" spans="1:220" s="74" customFormat="1" ht="30" hidden="1" customHeight="1" x14ac:dyDescent="0.35">
      <c r="A141" s="119">
        <v>132</v>
      </c>
      <c r="B141" s="4"/>
      <c r="C141" s="7"/>
      <c r="D141" s="4"/>
      <c r="E141" s="246"/>
      <c r="F141" s="10"/>
      <c r="G141" s="10"/>
      <c r="H141" s="10"/>
      <c r="I141" s="10"/>
      <c r="J141" s="10"/>
      <c r="K141" s="10"/>
      <c r="L141" s="10"/>
      <c r="M141" s="10"/>
      <c r="N141" s="10"/>
      <c r="O141" s="11"/>
      <c r="P141" s="238"/>
      <c r="Q141" s="14"/>
      <c r="R141" s="10"/>
      <c r="S141" s="10"/>
      <c r="T141" s="10"/>
      <c r="U141" s="10"/>
      <c r="V141" s="10"/>
      <c r="W141" s="10"/>
      <c r="X141" s="10"/>
      <c r="Y141" s="10"/>
      <c r="Z141" s="15"/>
      <c r="AA141" s="238"/>
      <c r="AB141" s="14"/>
      <c r="AC141" s="10"/>
      <c r="AD141" s="10"/>
      <c r="AE141" s="10"/>
      <c r="AF141" s="10"/>
      <c r="AG141" s="10"/>
      <c r="AH141" s="10"/>
      <c r="AI141" s="10"/>
      <c r="AJ141" s="10"/>
      <c r="AK141" s="15"/>
      <c r="AL141" s="238"/>
      <c r="AM141" s="14"/>
      <c r="AN141" s="10"/>
      <c r="AO141" s="10"/>
      <c r="AP141" s="10"/>
      <c r="AQ141" s="10"/>
      <c r="AR141" s="10"/>
      <c r="AS141" s="10"/>
      <c r="AT141" s="10"/>
      <c r="AU141" s="10"/>
      <c r="AV141" s="15"/>
      <c r="AW141" s="238"/>
      <c r="AX141" s="14"/>
      <c r="AY141" s="10"/>
      <c r="AZ141" s="10"/>
      <c r="BA141" s="10"/>
      <c r="BB141" s="10"/>
      <c r="BC141" s="10"/>
      <c r="BD141" s="10"/>
      <c r="BE141" s="10"/>
      <c r="BF141" s="10"/>
      <c r="BG141" s="15"/>
      <c r="BH141" s="238"/>
      <c r="BI141" s="14"/>
      <c r="BJ141" s="10"/>
      <c r="BK141" s="10"/>
      <c r="BL141" s="10"/>
      <c r="BM141" s="10"/>
      <c r="BN141" s="10"/>
      <c r="BO141" s="10"/>
      <c r="BP141" s="10"/>
      <c r="BQ141" s="10"/>
      <c r="BR141" s="15"/>
      <c r="BS141" s="238"/>
      <c r="BT141" s="14"/>
      <c r="BU141" s="10"/>
      <c r="BV141" s="10"/>
      <c r="BW141" s="10"/>
      <c r="BX141" s="10"/>
      <c r="BY141" s="10"/>
      <c r="BZ141" s="10"/>
      <c r="CA141" s="10"/>
      <c r="CB141" s="14"/>
      <c r="CC141" s="10"/>
      <c r="CD141" s="10"/>
      <c r="CE141" s="10"/>
      <c r="CF141" s="10"/>
      <c r="CG141" s="10"/>
      <c r="CH141" s="10"/>
      <c r="CI141" s="238"/>
      <c r="CJ141" s="14"/>
      <c r="CK141" s="10"/>
      <c r="CL141" s="10"/>
      <c r="CM141" s="10"/>
      <c r="CN141" s="10"/>
      <c r="CO141" s="10"/>
      <c r="CP141" s="10"/>
      <c r="CQ141" s="10"/>
      <c r="CR141" s="14"/>
      <c r="CS141" s="10"/>
      <c r="CT141" s="10"/>
      <c r="CU141" s="10"/>
      <c r="CV141" s="10"/>
      <c r="CW141" s="10"/>
      <c r="CX141" s="10"/>
      <c r="CY141" s="238"/>
      <c r="CZ141" s="14"/>
      <c r="DA141" s="10"/>
      <c r="DB141" s="10"/>
      <c r="DC141" s="10"/>
      <c r="DD141" s="10"/>
      <c r="DE141" s="10"/>
      <c r="DF141" s="10"/>
      <c r="DG141" s="10"/>
      <c r="DH141" s="14"/>
      <c r="DI141" s="10"/>
      <c r="DJ141" s="10"/>
      <c r="DK141" s="10"/>
      <c r="DL141" s="10"/>
      <c r="DM141" s="10"/>
      <c r="DN141" s="10"/>
      <c r="DO141" s="238"/>
      <c r="DP141" s="14"/>
      <c r="DQ141" s="10"/>
      <c r="DR141" s="10"/>
      <c r="DS141" s="10"/>
      <c r="DT141" s="10"/>
      <c r="DU141" s="10"/>
      <c r="DV141" s="10"/>
      <c r="DW141" s="10"/>
      <c r="DX141" s="14"/>
      <c r="DY141" s="10"/>
      <c r="DZ141" s="10"/>
      <c r="EA141" s="10"/>
      <c r="EB141" s="10"/>
      <c r="EC141" s="10"/>
      <c r="ED141" s="10"/>
      <c r="EE141" s="238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238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/>
      <c r="FC141" s="238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238"/>
      <c r="FP141" s="14"/>
      <c r="FQ141" s="14"/>
      <c r="FR141" s="14"/>
      <c r="FS141" s="14"/>
      <c r="FT141" s="14"/>
      <c r="FU141" s="238"/>
      <c r="FV141" s="14"/>
      <c r="FW141" s="14"/>
      <c r="FX141" s="14"/>
      <c r="FY141" s="14"/>
      <c r="FZ141" s="14"/>
      <c r="GA141" s="120"/>
      <c r="GB141" s="122" t="str">
        <f t="shared" si="72"/>
        <v/>
      </c>
      <c r="GC141" s="140" t="str">
        <f t="shared" si="73"/>
        <v/>
      </c>
      <c r="GD141" s="122">
        <f t="shared" si="74"/>
        <v>0</v>
      </c>
      <c r="GE141" s="122">
        <f t="shared" si="75"/>
        <v>0</v>
      </c>
      <c r="GF141" s="122">
        <f t="shared" si="76"/>
        <v>0</v>
      </c>
      <c r="GG141" s="122">
        <f t="shared" si="77"/>
        <v>0</v>
      </c>
      <c r="GH141" s="122">
        <f t="shared" si="78"/>
        <v>0</v>
      </c>
      <c r="GI141" s="122">
        <f t="shared" si="79"/>
        <v>0</v>
      </c>
      <c r="GJ141" s="122">
        <f t="shared" si="80"/>
        <v>0</v>
      </c>
      <c r="GK141" s="122">
        <f t="shared" si="81"/>
        <v>0</v>
      </c>
      <c r="GL141" s="122">
        <f t="shared" si="82"/>
        <v>0</v>
      </c>
      <c r="GM141" s="122">
        <f t="shared" si="83"/>
        <v>0</v>
      </c>
      <c r="GN141" s="122">
        <f t="shared" si="84"/>
        <v>0</v>
      </c>
      <c r="GO141" s="122">
        <f t="shared" si="85"/>
        <v>0</v>
      </c>
      <c r="GP141" s="122">
        <f t="shared" si="86"/>
        <v>0</v>
      </c>
      <c r="GQ141" s="122">
        <f t="shared" si="87"/>
        <v>0</v>
      </c>
      <c r="GR141" s="122">
        <f t="shared" si="88"/>
        <v>0</v>
      </c>
      <c r="GS141" s="123">
        <f t="shared" si="89"/>
        <v>0</v>
      </c>
      <c r="GT141"/>
      <c r="GU141"/>
      <c r="GV141"/>
      <c r="GW141" s="124"/>
      <c r="GX141" s="118"/>
      <c r="GY141" s="118"/>
      <c r="GZ141" s="118"/>
      <c r="HA141" s="118"/>
      <c r="HB141" s="118"/>
      <c r="HC141" s="118"/>
      <c r="HD141" s="118"/>
      <c r="HE141" s="118"/>
      <c r="HF141" s="118"/>
      <c r="HG141" s="118"/>
      <c r="HH141" s="118"/>
      <c r="HI141" s="118"/>
      <c r="HJ141" s="118"/>
      <c r="HK141" s="118"/>
      <c r="HL141" s="118"/>
    </row>
    <row r="142" spans="1:220" s="74" customFormat="1" ht="30" hidden="1" customHeight="1" x14ac:dyDescent="0.35">
      <c r="A142" s="119">
        <v>133</v>
      </c>
      <c r="B142" s="3"/>
      <c r="C142" s="6"/>
      <c r="D142" s="3"/>
      <c r="E142" s="246"/>
      <c r="F142" s="8"/>
      <c r="G142" s="8"/>
      <c r="H142" s="8"/>
      <c r="I142" s="8"/>
      <c r="J142" s="8"/>
      <c r="K142" s="8"/>
      <c r="L142" s="8"/>
      <c r="M142" s="8"/>
      <c r="N142" s="8"/>
      <c r="O142" s="9"/>
      <c r="P142" s="238"/>
      <c r="Q142" s="12"/>
      <c r="R142" s="8"/>
      <c r="S142" s="8"/>
      <c r="T142" s="8"/>
      <c r="U142" s="8"/>
      <c r="V142" s="8"/>
      <c r="W142" s="8"/>
      <c r="X142" s="8"/>
      <c r="Y142" s="8"/>
      <c r="Z142" s="13"/>
      <c r="AA142" s="238"/>
      <c r="AB142" s="12"/>
      <c r="AC142" s="8"/>
      <c r="AD142" s="8"/>
      <c r="AE142" s="8"/>
      <c r="AF142" s="8"/>
      <c r="AG142" s="8"/>
      <c r="AH142" s="8"/>
      <c r="AI142" s="8"/>
      <c r="AJ142" s="8"/>
      <c r="AK142" s="13"/>
      <c r="AL142" s="238"/>
      <c r="AM142" s="12"/>
      <c r="AN142" s="8"/>
      <c r="AO142" s="8"/>
      <c r="AP142" s="8"/>
      <c r="AQ142" s="8"/>
      <c r="AR142" s="8"/>
      <c r="AS142" s="8"/>
      <c r="AT142" s="8"/>
      <c r="AU142" s="8"/>
      <c r="AV142" s="13"/>
      <c r="AW142" s="238"/>
      <c r="AX142" s="12"/>
      <c r="AY142" s="8"/>
      <c r="AZ142" s="8"/>
      <c r="BA142" s="8"/>
      <c r="BB142" s="8"/>
      <c r="BC142" s="8"/>
      <c r="BD142" s="8"/>
      <c r="BE142" s="8"/>
      <c r="BF142" s="8"/>
      <c r="BG142" s="13"/>
      <c r="BH142" s="238"/>
      <c r="BI142" s="12"/>
      <c r="BJ142" s="8"/>
      <c r="BK142" s="8"/>
      <c r="BL142" s="8"/>
      <c r="BM142" s="8"/>
      <c r="BN142" s="8"/>
      <c r="BO142" s="8"/>
      <c r="BP142" s="8"/>
      <c r="BQ142" s="8"/>
      <c r="BR142" s="13"/>
      <c r="BS142" s="238"/>
      <c r="BT142" s="12"/>
      <c r="BU142" s="8"/>
      <c r="BV142" s="8"/>
      <c r="BW142" s="8"/>
      <c r="BX142" s="8"/>
      <c r="BY142" s="8"/>
      <c r="BZ142" s="8"/>
      <c r="CA142" s="8"/>
      <c r="CB142" s="12"/>
      <c r="CC142" s="8"/>
      <c r="CD142" s="8"/>
      <c r="CE142" s="8"/>
      <c r="CF142" s="8"/>
      <c r="CG142" s="8"/>
      <c r="CH142" s="8"/>
      <c r="CI142" s="238"/>
      <c r="CJ142" s="12"/>
      <c r="CK142" s="8"/>
      <c r="CL142" s="8"/>
      <c r="CM142" s="8"/>
      <c r="CN142" s="8"/>
      <c r="CO142" s="8"/>
      <c r="CP142" s="8"/>
      <c r="CQ142" s="8"/>
      <c r="CR142" s="12"/>
      <c r="CS142" s="8"/>
      <c r="CT142" s="8"/>
      <c r="CU142" s="8"/>
      <c r="CV142" s="8"/>
      <c r="CW142" s="8"/>
      <c r="CX142" s="8"/>
      <c r="CY142" s="238"/>
      <c r="CZ142" s="12"/>
      <c r="DA142" s="8"/>
      <c r="DB142" s="8"/>
      <c r="DC142" s="8"/>
      <c r="DD142" s="8"/>
      <c r="DE142" s="8"/>
      <c r="DF142" s="8"/>
      <c r="DG142" s="8"/>
      <c r="DH142" s="12"/>
      <c r="DI142" s="8"/>
      <c r="DJ142" s="8"/>
      <c r="DK142" s="8"/>
      <c r="DL142" s="8"/>
      <c r="DM142" s="8"/>
      <c r="DN142" s="8"/>
      <c r="DO142" s="238"/>
      <c r="DP142" s="12"/>
      <c r="DQ142" s="8"/>
      <c r="DR142" s="8"/>
      <c r="DS142" s="8"/>
      <c r="DT142" s="8"/>
      <c r="DU142" s="8"/>
      <c r="DV142" s="8"/>
      <c r="DW142" s="8"/>
      <c r="DX142" s="12"/>
      <c r="DY142" s="8"/>
      <c r="DZ142" s="8"/>
      <c r="EA142" s="8"/>
      <c r="EB142" s="8"/>
      <c r="EC142" s="8"/>
      <c r="ED142" s="8"/>
      <c r="EE142" s="238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238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238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238"/>
      <c r="FP142" s="12"/>
      <c r="FQ142" s="12"/>
      <c r="FR142" s="12"/>
      <c r="FS142" s="12"/>
      <c r="FT142" s="12"/>
      <c r="FU142" s="238"/>
      <c r="FV142" s="12"/>
      <c r="FW142" s="12"/>
      <c r="FX142" s="12"/>
      <c r="FY142" s="12"/>
      <c r="FZ142" s="12"/>
      <c r="GA142" s="120"/>
      <c r="GB142" s="118" t="str">
        <f t="shared" si="72"/>
        <v/>
      </c>
      <c r="GC142" s="139" t="str">
        <f t="shared" si="73"/>
        <v/>
      </c>
      <c r="GD142" s="118">
        <f t="shared" si="74"/>
        <v>0</v>
      </c>
      <c r="GE142" s="118">
        <f t="shared" si="75"/>
        <v>0</v>
      </c>
      <c r="GF142" s="118">
        <f t="shared" si="76"/>
        <v>0</v>
      </c>
      <c r="GG142" s="118">
        <f t="shared" si="77"/>
        <v>0</v>
      </c>
      <c r="GH142" s="118">
        <f t="shared" si="78"/>
        <v>0</v>
      </c>
      <c r="GI142" s="118">
        <f t="shared" si="79"/>
        <v>0</v>
      </c>
      <c r="GJ142" s="118">
        <f t="shared" si="80"/>
        <v>0</v>
      </c>
      <c r="GK142" s="118">
        <f t="shared" si="81"/>
        <v>0</v>
      </c>
      <c r="GL142" s="118">
        <f t="shared" si="82"/>
        <v>0</v>
      </c>
      <c r="GM142" s="118">
        <f t="shared" si="83"/>
        <v>0</v>
      </c>
      <c r="GN142" s="118">
        <f t="shared" si="84"/>
        <v>0</v>
      </c>
      <c r="GO142" s="118">
        <f t="shared" si="85"/>
        <v>0</v>
      </c>
      <c r="GP142" s="118">
        <f t="shared" si="86"/>
        <v>0</v>
      </c>
      <c r="GQ142" s="118">
        <f t="shared" si="87"/>
        <v>0</v>
      </c>
      <c r="GR142" s="118">
        <f t="shared" si="88"/>
        <v>0</v>
      </c>
      <c r="GS142" s="121">
        <f t="shared" si="89"/>
        <v>0</v>
      </c>
      <c r="GT142"/>
      <c r="GU142"/>
      <c r="GV142"/>
      <c r="GW142" s="124"/>
      <c r="GX142" s="118"/>
      <c r="GY142" s="118"/>
      <c r="GZ142" s="118"/>
      <c r="HA142" s="118"/>
      <c r="HB142" s="118"/>
      <c r="HC142" s="118"/>
      <c r="HD142" s="118"/>
      <c r="HE142" s="118"/>
      <c r="HF142" s="118"/>
      <c r="HG142" s="118"/>
      <c r="HH142" s="118"/>
      <c r="HI142" s="118"/>
      <c r="HJ142" s="118"/>
      <c r="HK142" s="118"/>
      <c r="HL142" s="118"/>
    </row>
    <row r="143" spans="1:220" s="74" customFormat="1" ht="30" hidden="1" customHeight="1" x14ac:dyDescent="0.35">
      <c r="A143" s="119">
        <v>134</v>
      </c>
      <c r="B143" s="4"/>
      <c r="C143" s="7"/>
      <c r="D143" s="4"/>
      <c r="E143" s="246"/>
      <c r="F143" s="10"/>
      <c r="G143" s="10"/>
      <c r="H143" s="10"/>
      <c r="I143" s="10"/>
      <c r="J143" s="10"/>
      <c r="K143" s="10"/>
      <c r="L143" s="10"/>
      <c r="M143" s="10"/>
      <c r="N143" s="10"/>
      <c r="O143" s="11"/>
      <c r="P143" s="238"/>
      <c r="Q143" s="14"/>
      <c r="R143" s="10"/>
      <c r="S143" s="10"/>
      <c r="T143" s="10"/>
      <c r="U143" s="10"/>
      <c r="V143" s="10"/>
      <c r="W143" s="10"/>
      <c r="X143" s="10"/>
      <c r="Y143" s="10"/>
      <c r="Z143" s="15"/>
      <c r="AA143" s="238"/>
      <c r="AB143" s="14"/>
      <c r="AC143" s="10"/>
      <c r="AD143" s="10"/>
      <c r="AE143" s="10"/>
      <c r="AF143" s="10"/>
      <c r="AG143" s="10"/>
      <c r="AH143" s="10"/>
      <c r="AI143" s="10"/>
      <c r="AJ143" s="10"/>
      <c r="AK143" s="15"/>
      <c r="AL143" s="238"/>
      <c r="AM143" s="14"/>
      <c r="AN143" s="10"/>
      <c r="AO143" s="10"/>
      <c r="AP143" s="10"/>
      <c r="AQ143" s="10"/>
      <c r="AR143" s="10"/>
      <c r="AS143" s="10"/>
      <c r="AT143" s="10"/>
      <c r="AU143" s="10"/>
      <c r="AV143" s="15"/>
      <c r="AW143" s="238"/>
      <c r="AX143" s="14"/>
      <c r="AY143" s="10"/>
      <c r="AZ143" s="10"/>
      <c r="BA143" s="10"/>
      <c r="BB143" s="10"/>
      <c r="BC143" s="10"/>
      <c r="BD143" s="10"/>
      <c r="BE143" s="10"/>
      <c r="BF143" s="10"/>
      <c r="BG143" s="15"/>
      <c r="BH143" s="238"/>
      <c r="BI143" s="14"/>
      <c r="BJ143" s="10"/>
      <c r="BK143" s="10"/>
      <c r="BL143" s="10"/>
      <c r="BM143" s="10"/>
      <c r="BN143" s="10"/>
      <c r="BO143" s="10"/>
      <c r="BP143" s="10"/>
      <c r="BQ143" s="10"/>
      <c r="BR143" s="15"/>
      <c r="BS143" s="238"/>
      <c r="BT143" s="14"/>
      <c r="BU143" s="10"/>
      <c r="BV143" s="10"/>
      <c r="BW143" s="10"/>
      <c r="BX143" s="10"/>
      <c r="BY143" s="10"/>
      <c r="BZ143" s="10"/>
      <c r="CA143" s="10"/>
      <c r="CB143" s="14"/>
      <c r="CC143" s="10"/>
      <c r="CD143" s="10"/>
      <c r="CE143" s="10"/>
      <c r="CF143" s="10"/>
      <c r="CG143" s="10"/>
      <c r="CH143" s="10"/>
      <c r="CI143" s="238"/>
      <c r="CJ143" s="14"/>
      <c r="CK143" s="10"/>
      <c r="CL143" s="10"/>
      <c r="CM143" s="10"/>
      <c r="CN143" s="10"/>
      <c r="CO143" s="10"/>
      <c r="CP143" s="10"/>
      <c r="CQ143" s="10"/>
      <c r="CR143" s="14"/>
      <c r="CS143" s="10"/>
      <c r="CT143" s="10"/>
      <c r="CU143" s="10"/>
      <c r="CV143" s="10"/>
      <c r="CW143" s="10"/>
      <c r="CX143" s="10"/>
      <c r="CY143" s="238"/>
      <c r="CZ143" s="14"/>
      <c r="DA143" s="10"/>
      <c r="DB143" s="10"/>
      <c r="DC143" s="10"/>
      <c r="DD143" s="10"/>
      <c r="DE143" s="10"/>
      <c r="DF143" s="10"/>
      <c r="DG143" s="10"/>
      <c r="DH143" s="14"/>
      <c r="DI143" s="10"/>
      <c r="DJ143" s="10"/>
      <c r="DK143" s="10"/>
      <c r="DL143" s="10"/>
      <c r="DM143" s="10"/>
      <c r="DN143" s="10"/>
      <c r="DO143" s="238"/>
      <c r="DP143" s="14"/>
      <c r="DQ143" s="10"/>
      <c r="DR143" s="10"/>
      <c r="DS143" s="10"/>
      <c r="DT143" s="10"/>
      <c r="DU143" s="10"/>
      <c r="DV143" s="10"/>
      <c r="DW143" s="10"/>
      <c r="DX143" s="14"/>
      <c r="DY143" s="10"/>
      <c r="DZ143" s="10"/>
      <c r="EA143" s="10"/>
      <c r="EB143" s="10"/>
      <c r="EC143" s="10"/>
      <c r="ED143" s="10"/>
      <c r="EE143" s="238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238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/>
      <c r="FC143" s="238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238"/>
      <c r="FP143" s="14"/>
      <c r="FQ143" s="14"/>
      <c r="FR143" s="14"/>
      <c r="FS143" s="14"/>
      <c r="FT143" s="14"/>
      <c r="FU143" s="238"/>
      <c r="FV143" s="14"/>
      <c r="FW143" s="14"/>
      <c r="FX143" s="14"/>
      <c r="FY143" s="14"/>
      <c r="FZ143" s="14"/>
      <c r="GA143" s="120"/>
      <c r="GB143" s="122" t="str">
        <f t="shared" si="72"/>
        <v/>
      </c>
      <c r="GC143" s="140" t="str">
        <f t="shared" si="73"/>
        <v/>
      </c>
      <c r="GD143" s="122">
        <f t="shared" si="74"/>
        <v>0</v>
      </c>
      <c r="GE143" s="122">
        <f t="shared" si="75"/>
        <v>0</v>
      </c>
      <c r="GF143" s="122">
        <f t="shared" si="76"/>
        <v>0</v>
      </c>
      <c r="GG143" s="122">
        <f t="shared" si="77"/>
        <v>0</v>
      </c>
      <c r="GH143" s="122">
        <f t="shared" si="78"/>
        <v>0</v>
      </c>
      <c r="GI143" s="122">
        <f t="shared" si="79"/>
        <v>0</v>
      </c>
      <c r="GJ143" s="122">
        <f t="shared" si="80"/>
        <v>0</v>
      </c>
      <c r="GK143" s="122">
        <f t="shared" si="81"/>
        <v>0</v>
      </c>
      <c r="GL143" s="122">
        <f t="shared" si="82"/>
        <v>0</v>
      </c>
      <c r="GM143" s="122">
        <f t="shared" si="83"/>
        <v>0</v>
      </c>
      <c r="GN143" s="122">
        <f t="shared" si="84"/>
        <v>0</v>
      </c>
      <c r="GO143" s="122">
        <f t="shared" si="85"/>
        <v>0</v>
      </c>
      <c r="GP143" s="122">
        <f t="shared" si="86"/>
        <v>0</v>
      </c>
      <c r="GQ143" s="122">
        <f t="shared" si="87"/>
        <v>0</v>
      </c>
      <c r="GR143" s="122">
        <f t="shared" si="88"/>
        <v>0</v>
      </c>
      <c r="GS143" s="123">
        <f t="shared" si="89"/>
        <v>0</v>
      </c>
      <c r="GT143"/>
      <c r="GU143"/>
      <c r="GV143"/>
      <c r="GW143" s="124"/>
      <c r="GX143" s="118"/>
      <c r="GY143" s="118"/>
      <c r="GZ143" s="118"/>
      <c r="HA143" s="118"/>
      <c r="HB143" s="118"/>
      <c r="HC143" s="118"/>
      <c r="HD143" s="118"/>
      <c r="HE143" s="118"/>
      <c r="HF143" s="118"/>
      <c r="HG143" s="118"/>
      <c r="HH143" s="118"/>
      <c r="HI143" s="118"/>
      <c r="HJ143" s="118"/>
      <c r="HK143" s="118"/>
      <c r="HL143" s="118"/>
    </row>
    <row r="144" spans="1:220" s="74" customFormat="1" ht="30" hidden="1" customHeight="1" x14ac:dyDescent="0.35">
      <c r="A144" s="119">
        <v>135</v>
      </c>
      <c r="B144" s="3"/>
      <c r="C144" s="6"/>
      <c r="D144" s="3"/>
      <c r="E144" s="246"/>
      <c r="F144" s="8"/>
      <c r="G144" s="8"/>
      <c r="H144" s="8"/>
      <c r="I144" s="8"/>
      <c r="J144" s="8"/>
      <c r="K144" s="8"/>
      <c r="L144" s="8"/>
      <c r="M144" s="8"/>
      <c r="N144" s="8"/>
      <c r="O144" s="9"/>
      <c r="P144" s="238"/>
      <c r="Q144" s="12"/>
      <c r="R144" s="8"/>
      <c r="S144" s="8"/>
      <c r="T144" s="8"/>
      <c r="U144" s="8"/>
      <c r="V144" s="8"/>
      <c r="W144" s="8"/>
      <c r="X144" s="8"/>
      <c r="Y144" s="8"/>
      <c r="Z144" s="13"/>
      <c r="AA144" s="238"/>
      <c r="AB144" s="12"/>
      <c r="AC144" s="8"/>
      <c r="AD144" s="8"/>
      <c r="AE144" s="8"/>
      <c r="AF144" s="8"/>
      <c r="AG144" s="8"/>
      <c r="AH144" s="8"/>
      <c r="AI144" s="8"/>
      <c r="AJ144" s="8"/>
      <c r="AK144" s="13"/>
      <c r="AL144" s="238"/>
      <c r="AM144" s="12"/>
      <c r="AN144" s="8"/>
      <c r="AO144" s="8"/>
      <c r="AP144" s="8"/>
      <c r="AQ144" s="8"/>
      <c r="AR144" s="8"/>
      <c r="AS144" s="8"/>
      <c r="AT144" s="8"/>
      <c r="AU144" s="8"/>
      <c r="AV144" s="13"/>
      <c r="AW144" s="238"/>
      <c r="AX144" s="12"/>
      <c r="AY144" s="8"/>
      <c r="AZ144" s="8"/>
      <c r="BA144" s="8"/>
      <c r="BB144" s="8"/>
      <c r="BC144" s="8"/>
      <c r="BD144" s="8"/>
      <c r="BE144" s="8"/>
      <c r="BF144" s="8"/>
      <c r="BG144" s="13"/>
      <c r="BH144" s="238"/>
      <c r="BI144" s="12"/>
      <c r="BJ144" s="8"/>
      <c r="BK144" s="8"/>
      <c r="BL144" s="8"/>
      <c r="BM144" s="8"/>
      <c r="BN144" s="8"/>
      <c r="BO144" s="8"/>
      <c r="BP144" s="8"/>
      <c r="BQ144" s="8"/>
      <c r="BR144" s="13"/>
      <c r="BS144" s="238"/>
      <c r="BT144" s="12"/>
      <c r="BU144" s="8"/>
      <c r="BV144" s="8"/>
      <c r="BW144" s="8"/>
      <c r="BX144" s="8"/>
      <c r="BY144" s="8"/>
      <c r="BZ144" s="8"/>
      <c r="CA144" s="8"/>
      <c r="CB144" s="12"/>
      <c r="CC144" s="8"/>
      <c r="CD144" s="8"/>
      <c r="CE144" s="8"/>
      <c r="CF144" s="8"/>
      <c r="CG144" s="8"/>
      <c r="CH144" s="8"/>
      <c r="CI144" s="238"/>
      <c r="CJ144" s="12"/>
      <c r="CK144" s="8"/>
      <c r="CL144" s="8"/>
      <c r="CM144" s="8"/>
      <c r="CN144" s="8"/>
      <c r="CO144" s="8"/>
      <c r="CP144" s="8"/>
      <c r="CQ144" s="8"/>
      <c r="CR144" s="12"/>
      <c r="CS144" s="8"/>
      <c r="CT144" s="8"/>
      <c r="CU144" s="8"/>
      <c r="CV144" s="8"/>
      <c r="CW144" s="8"/>
      <c r="CX144" s="8"/>
      <c r="CY144" s="238"/>
      <c r="CZ144" s="12"/>
      <c r="DA144" s="8"/>
      <c r="DB144" s="8"/>
      <c r="DC144" s="8"/>
      <c r="DD144" s="8"/>
      <c r="DE144" s="8"/>
      <c r="DF144" s="8"/>
      <c r="DG144" s="8"/>
      <c r="DH144" s="12"/>
      <c r="DI144" s="8"/>
      <c r="DJ144" s="8"/>
      <c r="DK144" s="8"/>
      <c r="DL144" s="8"/>
      <c r="DM144" s="8"/>
      <c r="DN144" s="8"/>
      <c r="DO144" s="238"/>
      <c r="DP144" s="12"/>
      <c r="DQ144" s="8"/>
      <c r="DR144" s="8"/>
      <c r="DS144" s="8"/>
      <c r="DT144" s="8"/>
      <c r="DU144" s="8"/>
      <c r="DV144" s="8"/>
      <c r="DW144" s="8"/>
      <c r="DX144" s="12"/>
      <c r="DY144" s="8"/>
      <c r="DZ144" s="8"/>
      <c r="EA144" s="8"/>
      <c r="EB144" s="8"/>
      <c r="EC144" s="8"/>
      <c r="ED144" s="8"/>
      <c r="EE144" s="238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238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238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238"/>
      <c r="FP144" s="12"/>
      <c r="FQ144" s="12"/>
      <c r="FR144" s="12"/>
      <c r="FS144" s="12"/>
      <c r="FT144" s="12"/>
      <c r="FU144" s="238"/>
      <c r="FV144" s="12"/>
      <c r="FW144" s="12"/>
      <c r="FX144" s="12"/>
      <c r="FY144" s="12"/>
      <c r="FZ144" s="12"/>
      <c r="GA144" s="120"/>
      <c r="GB144" s="118" t="str">
        <f t="shared" si="72"/>
        <v/>
      </c>
      <c r="GC144" s="139" t="str">
        <f t="shared" si="73"/>
        <v/>
      </c>
      <c r="GD144" s="118">
        <f t="shared" si="74"/>
        <v>0</v>
      </c>
      <c r="GE144" s="118">
        <f t="shared" si="75"/>
        <v>0</v>
      </c>
      <c r="GF144" s="118">
        <f t="shared" si="76"/>
        <v>0</v>
      </c>
      <c r="GG144" s="118">
        <f t="shared" si="77"/>
        <v>0</v>
      </c>
      <c r="GH144" s="118">
        <f t="shared" si="78"/>
        <v>0</v>
      </c>
      <c r="GI144" s="118">
        <f t="shared" si="79"/>
        <v>0</v>
      </c>
      <c r="GJ144" s="118">
        <f t="shared" si="80"/>
        <v>0</v>
      </c>
      <c r="GK144" s="118">
        <f t="shared" si="81"/>
        <v>0</v>
      </c>
      <c r="GL144" s="118">
        <f t="shared" si="82"/>
        <v>0</v>
      </c>
      <c r="GM144" s="118">
        <f t="shared" si="83"/>
        <v>0</v>
      </c>
      <c r="GN144" s="118">
        <f t="shared" si="84"/>
        <v>0</v>
      </c>
      <c r="GO144" s="118">
        <f t="shared" si="85"/>
        <v>0</v>
      </c>
      <c r="GP144" s="118">
        <f t="shared" si="86"/>
        <v>0</v>
      </c>
      <c r="GQ144" s="118">
        <f t="shared" si="87"/>
        <v>0</v>
      </c>
      <c r="GR144" s="118">
        <f t="shared" si="88"/>
        <v>0</v>
      </c>
      <c r="GS144" s="121">
        <f t="shared" si="89"/>
        <v>0</v>
      </c>
      <c r="GT144"/>
      <c r="GU144"/>
      <c r="GV144"/>
      <c r="GW144" s="124"/>
      <c r="GX144" s="118"/>
      <c r="GY144" s="118"/>
      <c r="GZ144" s="118"/>
      <c r="HA144" s="118"/>
      <c r="HB144" s="118"/>
      <c r="HC144" s="118"/>
      <c r="HD144" s="118"/>
      <c r="HE144" s="118"/>
      <c r="HF144" s="118"/>
      <c r="HG144" s="118"/>
      <c r="HH144" s="118"/>
      <c r="HI144" s="118"/>
      <c r="HJ144" s="118"/>
      <c r="HK144" s="118"/>
      <c r="HL144" s="118"/>
    </row>
    <row r="145" spans="1:220" s="74" customFormat="1" ht="30" hidden="1" customHeight="1" x14ac:dyDescent="0.35">
      <c r="A145" s="119">
        <v>136</v>
      </c>
      <c r="B145" s="4"/>
      <c r="C145" s="7"/>
      <c r="D145" s="4"/>
      <c r="E145" s="246"/>
      <c r="F145" s="10"/>
      <c r="G145" s="10"/>
      <c r="H145" s="10"/>
      <c r="I145" s="10"/>
      <c r="J145" s="10"/>
      <c r="K145" s="10"/>
      <c r="L145" s="10"/>
      <c r="M145" s="10"/>
      <c r="N145" s="10"/>
      <c r="O145" s="11"/>
      <c r="P145" s="238"/>
      <c r="Q145" s="14"/>
      <c r="R145" s="10"/>
      <c r="S145" s="10"/>
      <c r="T145" s="10"/>
      <c r="U145" s="10"/>
      <c r="V145" s="10"/>
      <c r="W145" s="10"/>
      <c r="X145" s="10"/>
      <c r="Y145" s="10"/>
      <c r="Z145" s="15"/>
      <c r="AA145" s="238"/>
      <c r="AB145" s="14"/>
      <c r="AC145" s="10"/>
      <c r="AD145" s="10"/>
      <c r="AE145" s="10"/>
      <c r="AF145" s="10"/>
      <c r="AG145" s="10"/>
      <c r="AH145" s="10"/>
      <c r="AI145" s="10"/>
      <c r="AJ145" s="10"/>
      <c r="AK145" s="15"/>
      <c r="AL145" s="238"/>
      <c r="AM145" s="14"/>
      <c r="AN145" s="10"/>
      <c r="AO145" s="10"/>
      <c r="AP145" s="10"/>
      <c r="AQ145" s="10"/>
      <c r="AR145" s="10"/>
      <c r="AS145" s="10"/>
      <c r="AT145" s="10"/>
      <c r="AU145" s="10"/>
      <c r="AV145" s="15"/>
      <c r="AW145" s="238"/>
      <c r="AX145" s="14"/>
      <c r="AY145" s="10"/>
      <c r="AZ145" s="10"/>
      <c r="BA145" s="10"/>
      <c r="BB145" s="10"/>
      <c r="BC145" s="10"/>
      <c r="BD145" s="10"/>
      <c r="BE145" s="10"/>
      <c r="BF145" s="10"/>
      <c r="BG145" s="15"/>
      <c r="BH145" s="238"/>
      <c r="BI145" s="14"/>
      <c r="BJ145" s="10"/>
      <c r="BK145" s="10"/>
      <c r="BL145" s="10"/>
      <c r="BM145" s="10"/>
      <c r="BN145" s="10"/>
      <c r="BO145" s="10"/>
      <c r="BP145" s="10"/>
      <c r="BQ145" s="10"/>
      <c r="BR145" s="15"/>
      <c r="BS145" s="238"/>
      <c r="BT145" s="14"/>
      <c r="BU145" s="10"/>
      <c r="BV145" s="10"/>
      <c r="BW145" s="10"/>
      <c r="BX145" s="10"/>
      <c r="BY145" s="10"/>
      <c r="BZ145" s="10"/>
      <c r="CA145" s="10"/>
      <c r="CB145" s="14"/>
      <c r="CC145" s="10"/>
      <c r="CD145" s="10"/>
      <c r="CE145" s="10"/>
      <c r="CF145" s="10"/>
      <c r="CG145" s="10"/>
      <c r="CH145" s="10"/>
      <c r="CI145" s="238"/>
      <c r="CJ145" s="14"/>
      <c r="CK145" s="10"/>
      <c r="CL145" s="10"/>
      <c r="CM145" s="10"/>
      <c r="CN145" s="10"/>
      <c r="CO145" s="10"/>
      <c r="CP145" s="10"/>
      <c r="CQ145" s="10"/>
      <c r="CR145" s="14"/>
      <c r="CS145" s="10"/>
      <c r="CT145" s="10"/>
      <c r="CU145" s="10"/>
      <c r="CV145" s="10"/>
      <c r="CW145" s="10"/>
      <c r="CX145" s="10"/>
      <c r="CY145" s="238"/>
      <c r="CZ145" s="14"/>
      <c r="DA145" s="10"/>
      <c r="DB145" s="10"/>
      <c r="DC145" s="10"/>
      <c r="DD145" s="10"/>
      <c r="DE145" s="10"/>
      <c r="DF145" s="10"/>
      <c r="DG145" s="10"/>
      <c r="DH145" s="14"/>
      <c r="DI145" s="10"/>
      <c r="DJ145" s="10"/>
      <c r="DK145" s="10"/>
      <c r="DL145" s="10"/>
      <c r="DM145" s="10"/>
      <c r="DN145" s="10"/>
      <c r="DO145" s="238"/>
      <c r="DP145" s="14"/>
      <c r="DQ145" s="10"/>
      <c r="DR145" s="10"/>
      <c r="DS145" s="10"/>
      <c r="DT145" s="10"/>
      <c r="DU145" s="10"/>
      <c r="DV145" s="10"/>
      <c r="DW145" s="10"/>
      <c r="DX145" s="14"/>
      <c r="DY145" s="10"/>
      <c r="DZ145" s="10"/>
      <c r="EA145" s="10"/>
      <c r="EB145" s="10"/>
      <c r="EC145" s="10"/>
      <c r="ED145" s="10"/>
      <c r="EE145" s="238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238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238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238"/>
      <c r="FP145" s="14"/>
      <c r="FQ145" s="14"/>
      <c r="FR145" s="14"/>
      <c r="FS145" s="14"/>
      <c r="FT145" s="14"/>
      <c r="FU145" s="238"/>
      <c r="FV145" s="14"/>
      <c r="FW145" s="14"/>
      <c r="FX145" s="14"/>
      <c r="FY145" s="14"/>
      <c r="FZ145" s="14"/>
      <c r="GA145" s="120"/>
      <c r="GB145" s="122" t="str">
        <f t="shared" si="72"/>
        <v/>
      </c>
      <c r="GC145" s="140" t="str">
        <f t="shared" si="73"/>
        <v/>
      </c>
      <c r="GD145" s="122">
        <f t="shared" si="74"/>
        <v>0</v>
      </c>
      <c r="GE145" s="122">
        <f t="shared" si="75"/>
        <v>0</v>
      </c>
      <c r="GF145" s="122">
        <f t="shared" si="76"/>
        <v>0</v>
      </c>
      <c r="GG145" s="122">
        <f t="shared" si="77"/>
        <v>0</v>
      </c>
      <c r="GH145" s="122">
        <f t="shared" si="78"/>
        <v>0</v>
      </c>
      <c r="GI145" s="122">
        <f t="shared" si="79"/>
        <v>0</v>
      </c>
      <c r="GJ145" s="122">
        <f t="shared" si="80"/>
        <v>0</v>
      </c>
      <c r="GK145" s="122">
        <f t="shared" si="81"/>
        <v>0</v>
      </c>
      <c r="GL145" s="122">
        <f t="shared" si="82"/>
        <v>0</v>
      </c>
      <c r="GM145" s="122">
        <f t="shared" si="83"/>
        <v>0</v>
      </c>
      <c r="GN145" s="122">
        <f t="shared" si="84"/>
        <v>0</v>
      </c>
      <c r="GO145" s="122">
        <f t="shared" si="85"/>
        <v>0</v>
      </c>
      <c r="GP145" s="122">
        <f t="shared" si="86"/>
        <v>0</v>
      </c>
      <c r="GQ145" s="122">
        <f t="shared" si="87"/>
        <v>0</v>
      </c>
      <c r="GR145" s="122">
        <f t="shared" si="88"/>
        <v>0</v>
      </c>
      <c r="GS145" s="123">
        <f t="shared" si="89"/>
        <v>0</v>
      </c>
      <c r="GT145"/>
      <c r="GU145"/>
      <c r="GV145"/>
      <c r="GW145" s="124"/>
      <c r="GX145" s="118"/>
      <c r="GY145" s="118"/>
      <c r="GZ145" s="118"/>
      <c r="HA145" s="118"/>
      <c r="HB145" s="118"/>
      <c r="HC145" s="118"/>
      <c r="HD145" s="118"/>
      <c r="HE145" s="118"/>
      <c r="HF145" s="118"/>
      <c r="HG145" s="118"/>
      <c r="HH145" s="118"/>
      <c r="HI145" s="118"/>
      <c r="HJ145" s="118"/>
      <c r="HK145" s="118"/>
      <c r="HL145" s="118"/>
    </row>
    <row r="146" spans="1:220" s="74" customFormat="1" ht="30" hidden="1" customHeight="1" x14ac:dyDescent="0.35">
      <c r="A146" s="119">
        <v>137</v>
      </c>
      <c r="B146" s="3"/>
      <c r="C146" s="6"/>
      <c r="D146" s="3"/>
      <c r="E146" s="246"/>
      <c r="F146" s="8"/>
      <c r="G146" s="8"/>
      <c r="H146" s="8"/>
      <c r="I146" s="8"/>
      <c r="J146" s="8"/>
      <c r="K146" s="8"/>
      <c r="L146" s="8"/>
      <c r="M146" s="8"/>
      <c r="N146" s="8"/>
      <c r="O146" s="9"/>
      <c r="P146" s="238"/>
      <c r="Q146" s="12"/>
      <c r="R146" s="8"/>
      <c r="S146" s="8"/>
      <c r="T146" s="8"/>
      <c r="U146" s="8"/>
      <c r="V146" s="8"/>
      <c r="W146" s="8"/>
      <c r="X146" s="8"/>
      <c r="Y146" s="8"/>
      <c r="Z146" s="13"/>
      <c r="AA146" s="238"/>
      <c r="AB146" s="12"/>
      <c r="AC146" s="8"/>
      <c r="AD146" s="8"/>
      <c r="AE146" s="8"/>
      <c r="AF146" s="8"/>
      <c r="AG146" s="8"/>
      <c r="AH146" s="8"/>
      <c r="AI146" s="8"/>
      <c r="AJ146" s="8"/>
      <c r="AK146" s="13"/>
      <c r="AL146" s="238"/>
      <c r="AM146" s="12"/>
      <c r="AN146" s="8"/>
      <c r="AO146" s="8"/>
      <c r="AP146" s="8"/>
      <c r="AQ146" s="8"/>
      <c r="AR146" s="8"/>
      <c r="AS146" s="8"/>
      <c r="AT146" s="8"/>
      <c r="AU146" s="8"/>
      <c r="AV146" s="13"/>
      <c r="AW146" s="238"/>
      <c r="AX146" s="12"/>
      <c r="AY146" s="8"/>
      <c r="AZ146" s="8"/>
      <c r="BA146" s="8"/>
      <c r="BB146" s="8"/>
      <c r="BC146" s="8"/>
      <c r="BD146" s="8"/>
      <c r="BE146" s="8"/>
      <c r="BF146" s="8"/>
      <c r="BG146" s="13"/>
      <c r="BH146" s="238"/>
      <c r="BI146" s="12"/>
      <c r="BJ146" s="8"/>
      <c r="BK146" s="8"/>
      <c r="BL146" s="8"/>
      <c r="BM146" s="8"/>
      <c r="BN146" s="8"/>
      <c r="BO146" s="8"/>
      <c r="BP146" s="8"/>
      <c r="BQ146" s="8"/>
      <c r="BR146" s="13"/>
      <c r="BS146" s="238"/>
      <c r="BT146" s="12"/>
      <c r="BU146" s="8"/>
      <c r="BV146" s="8"/>
      <c r="BW146" s="8"/>
      <c r="BX146" s="8"/>
      <c r="BY146" s="8"/>
      <c r="BZ146" s="8"/>
      <c r="CA146" s="8"/>
      <c r="CB146" s="12"/>
      <c r="CC146" s="8"/>
      <c r="CD146" s="8"/>
      <c r="CE146" s="8"/>
      <c r="CF146" s="8"/>
      <c r="CG146" s="8"/>
      <c r="CH146" s="8"/>
      <c r="CI146" s="238"/>
      <c r="CJ146" s="12"/>
      <c r="CK146" s="8"/>
      <c r="CL146" s="8"/>
      <c r="CM146" s="8"/>
      <c r="CN146" s="8"/>
      <c r="CO146" s="8"/>
      <c r="CP146" s="8"/>
      <c r="CQ146" s="8"/>
      <c r="CR146" s="12"/>
      <c r="CS146" s="8"/>
      <c r="CT146" s="8"/>
      <c r="CU146" s="8"/>
      <c r="CV146" s="8"/>
      <c r="CW146" s="8"/>
      <c r="CX146" s="8"/>
      <c r="CY146" s="238"/>
      <c r="CZ146" s="12"/>
      <c r="DA146" s="8"/>
      <c r="DB146" s="8"/>
      <c r="DC146" s="8"/>
      <c r="DD146" s="8"/>
      <c r="DE146" s="8"/>
      <c r="DF146" s="8"/>
      <c r="DG146" s="8"/>
      <c r="DH146" s="12"/>
      <c r="DI146" s="8"/>
      <c r="DJ146" s="8"/>
      <c r="DK146" s="8"/>
      <c r="DL146" s="8"/>
      <c r="DM146" s="8"/>
      <c r="DN146" s="8"/>
      <c r="DO146" s="238"/>
      <c r="DP146" s="12"/>
      <c r="DQ146" s="8"/>
      <c r="DR146" s="8"/>
      <c r="DS146" s="8"/>
      <c r="DT146" s="8"/>
      <c r="DU146" s="8"/>
      <c r="DV146" s="8"/>
      <c r="DW146" s="8"/>
      <c r="DX146" s="12"/>
      <c r="DY146" s="8"/>
      <c r="DZ146" s="8"/>
      <c r="EA146" s="8"/>
      <c r="EB146" s="8"/>
      <c r="EC146" s="8"/>
      <c r="ED146" s="8"/>
      <c r="EE146" s="238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238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238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238"/>
      <c r="FP146" s="12"/>
      <c r="FQ146" s="12"/>
      <c r="FR146" s="12"/>
      <c r="FS146" s="12"/>
      <c r="FT146" s="12"/>
      <c r="FU146" s="238"/>
      <c r="FV146" s="12"/>
      <c r="FW146" s="12"/>
      <c r="FX146" s="12"/>
      <c r="FY146" s="12"/>
      <c r="FZ146" s="12"/>
      <c r="GA146" s="120"/>
      <c r="GB146" s="118" t="str">
        <f t="shared" si="72"/>
        <v/>
      </c>
      <c r="GC146" s="139" t="str">
        <f t="shared" si="73"/>
        <v/>
      </c>
      <c r="GD146" s="118">
        <f t="shared" si="74"/>
        <v>0</v>
      </c>
      <c r="GE146" s="118">
        <f t="shared" si="75"/>
        <v>0</v>
      </c>
      <c r="GF146" s="118">
        <f t="shared" si="76"/>
        <v>0</v>
      </c>
      <c r="GG146" s="118">
        <f t="shared" si="77"/>
        <v>0</v>
      </c>
      <c r="GH146" s="118">
        <f t="shared" si="78"/>
        <v>0</v>
      </c>
      <c r="GI146" s="118">
        <f t="shared" si="79"/>
        <v>0</v>
      </c>
      <c r="GJ146" s="118">
        <f t="shared" si="80"/>
        <v>0</v>
      </c>
      <c r="GK146" s="118">
        <f t="shared" si="81"/>
        <v>0</v>
      </c>
      <c r="GL146" s="118">
        <f t="shared" si="82"/>
        <v>0</v>
      </c>
      <c r="GM146" s="118">
        <f t="shared" si="83"/>
        <v>0</v>
      </c>
      <c r="GN146" s="118">
        <f t="shared" si="84"/>
        <v>0</v>
      </c>
      <c r="GO146" s="118">
        <f t="shared" si="85"/>
        <v>0</v>
      </c>
      <c r="GP146" s="118">
        <f t="shared" si="86"/>
        <v>0</v>
      </c>
      <c r="GQ146" s="118">
        <f t="shared" si="87"/>
        <v>0</v>
      </c>
      <c r="GR146" s="118">
        <f t="shared" si="88"/>
        <v>0</v>
      </c>
      <c r="GS146" s="121">
        <f t="shared" si="89"/>
        <v>0</v>
      </c>
      <c r="GT146"/>
      <c r="GU146"/>
      <c r="GV146"/>
      <c r="GW146" s="124"/>
      <c r="GX146" s="118"/>
      <c r="GY146" s="118"/>
      <c r="GZ146" s="118"/>
      <c r="HA146" s="118"/>
      <c r="HB146" s="118"/>
      <c r="HC146" s="118"/>
      <c r="HD146" s="118"/>
      <c r="HE146" s="118"/>
      <c r="HF146" s="118"/>
      <c r="HG146" s="118"/>
      <c r="HH146" s="118"/>
      <c r="HI146" s="118"/>
      <c r="HJ146" s="118"/>
      <c r="HK146" s="118"/>
      <c r="HL146" s="118"/>
    </row>
    <row r="147" spans="1:220" s="74" customFormat="1" ht="30" hidden="1" customHeight="1" x14ac:dyDescent="0.35">
      <c r="A147" s="119">
        <v>138</v>
      </c>
      <c r="B147" s="4"/>
      <c r="C147" s="7"/>
      <c r="D147" s="4"/>
      <c r="E147" s="246"/>
      <c r="F147" s="10"/>
      <c r="G147" s="10"/>
      <c r="H147" s="10"/>
      <c r="I147" s="10"/>
      <c r="J147" s="10"/>
      <c r="K147" s="10"/>
      <c r="L147" s="10"/>
      <c r="M147" s="10"/>
      <c r="N147" s="10"/>
      <c r="O147" s="11"/>
      <c r="P147" s="238"/>
      <c r="Q147" s="14"/>
      <c r="R147" s="10"/>
      <c r="S147" s="10"/>
      <c r="T147" s="10"/>
      <c r="U147" s="10"/>
      <c r="V147" s="10"/>
      <c r="W147" s="10"/>
      <c r="X147" s="10"/>
      <c r="Y147" s="10"/>
      <c r="Z147" s="15"/>
      <c r="AA147" s="238"/>
      <c r="AB147" s="14"/>
      <c r="AC147" s="10"/>
      <c r="AD147" s="10"/>
      <c r="AE147" s="10"/>
      <c r="AF147" s="10"/>
      <c r="AG147" s="10"/>
      <c r="AH147" s="10"/>
      <c r="AI147" s="10"/>
      <c r="AJ147" s="10"/>
      <c r="AK147" s="15"/>
      <c r="AL147" s="238"/>
      <c r="AM147" s="14"/>
      <c r="AN147" s="10"/>
      <c r="AO147" s="10"/>
      <c r="AP147" s="10"/>
      <c r="AQ147" s="10"/>
      <c r="AR147" s="10"/>
      <c r="AS147" s="10"/>
      <c r="AT147" s="10"/>
      <c r="AU147" s="10"/>
      <c r="AV147" s="15"/>
      <c r="AW147" s="238"/>
      <c r="AX147" s="14"/>
      <c r="AY147" s="10"/>
      <c r="AZ147" s="10"/>
      <c r="BA147" s="10"/>
      <c r="BB147" s="10"/>
      <c r="BC147" s="10"/>
      <c r="BD147" s="10"/>
      <c r="BE147" s="10"/>
      <c r="BF147" s="10"/>
      <c r="BG147" s="15"/>
      <c r="BH147" s="238"/>
      <c r="BI147" s="14"/>
      <c r="BJ147" s="10"/>
      <c r="BK147" s="10"/>
      <c r="BL147" s="10"/>
      <c r="BM147" s="10"/>
      <c r="BN147" s="10"/>
      <c r="BO147" s="10"/>
      <c r="BP147" s="10"/>
      <c r="BQ147" s="10"/>
      <c r="BR147" s="15"/>
      <c r="BS147" s="238"/>
      <c r="BT147" s="14"/>
      <c r="BU147" s="10"/>
      <c r="BV147" s="10"/>
      <c r="BW147" s="10"/>
      <c r="BX147" s="10"/>
      <c r="BY147" s="10"/>
      <c r="BZ147" s="10"/>
      <c r="CA147" s="10"/>
      <c r="CB147" s="14"/>
      <c r="CC147" s="10"/>
      <c r="CD147" s="10"/>
      <c r="CE147" s="10"/>
      <c r="CF147" s="10"/>
      <c r="CG147" s="10"/>
      <c r="CH147" s="10"/>
      <c r="CI147" s="238"/>
      <c r="CJ147" s="14"/>
      <c r="CK147" s="10"/>
      <c r="CL147" s="10"/>
      <c r="CM147" s="10"/>
      <c r="CN147" s="10"/>
      <c r="CO147" s="10"/>
      <c r="CP147" s="10"/>
      <c r="CQ147" s="10"/>
      <c r="CR147" s="14"/>
      <c r="CS147" s="10"/>
      <c r="CT147" s="10"/>
      <c r="CU147" s="10"/>
      <c r="CV147" s="10"/>
      <c r="CW147" s="10"/>
      <c r="CX147" s="10"/>
      <c r="CY147" s="238"/>
      <c r="CZ147" s="14"/>
      <c r="DA147" s="10"/>
      <c r="DB147" s="10"/>
      <c r="DC147" s="10"/>
      <c r="DD147" s="10"/>
      <c r="DE147" s="10"/>
      <c r="DF147" s="10"/>
      <c r="DG147" s="10"/>
      <c r="DH147" s="14"/>
      <c r="DI147" s="10"/>
      <c r="DJ147" s="10"/>
      <c r="DK147" s="10"/>
      <c r="DL147" s="10"/>
      <c r="DM147" s="10"/>
      <c r="DN147" s="10"/>
      <c r="DO147" s="238"/>
      <c r="DP147" s="14"/>
      <c r="DQ147" s="10"/>
      <c r="DR147" s="10"/>
      <c r="DS147" s="10"/>
      <c r="DT147" s="10"/>
      <c r="DU147" s="10"/>
      <c r="DV147" s="10"/>
      <c r="DW147" s="10"/>
      <c r="DX147" s="14"/>
      <c r="DY147" s="10"/>
      <c r="DZ147" s="10"/>
      <c r="EA147" s="10"/>
      <c r="EB147" s="10"/>
      <c r="EC147" s="10"/>
      <c r="ED147" s="10"/>
      <c r="EE147" s="238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238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238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238"/>
      <c r="FP147" s="14"/>
      <c r="FQ147" s="14"/>
      <c r="FR147" s="14"/>
      <c r="FS147" s="14"/>
      <c r="FT147" s="14"/>
      <c r="FU147" s="238"/>
      <c r="FV147" s="14"/>
      <c r="FW147" s="14"/>
      <c r="FX147" s="14"/>
      <c r="FY147" s="14"/>
      <c r="FZ147" s="14"/>
      <c r="GA147" s="120"/>
      <c r="GB147" s="122" t="str">
        <f t="shared" si="72"/>
        <v/>
      </c>
      <c r="GC147" s="140" t="str">
        <f t="shared" si="73"/>
        <v/>
      </c>
      <c r="GD147" s="122">
        <f t="shared" si="74"/>
        <v>0</v>
      </c>
      <c r="GE147" s="122">
        <f t="shared" si="75"/>
        <v>0</v>
      </c>
      <c r="GF147" s="122">
        <f t="shared" si="76"/>
        <v>0</v>
      </c>
      <c r="GG147" s="122">
        <f t="shared" si="77"/>
        <v>0</v>
      </c>
      <c r="GH147" s="122">
        <f t="shared" si="78"/>
        <v>0</v>
      </c>
      <c r="GI147" s="122">
        <f t="shared" si="79"/>
        <v>0</v>
      </c>
      <c r="GJ147" s="122">
        <f t="shared" si="80"/>
        <v>0</v>
      </c>
      <c r="GK147" s="122">
        <f t="shared" si="81"/>
        <v>0</v>
      </c>
      <c r="GL147" s="122">
        <f t="shared" si="82"/>
        <v>0</v>
      </c>
      <c r="GM147" s="122">
        <f t="shared" si="83"/>
        <v>0</v>
      </c>
      <c r="GN147" s="122">
        <f t="shared" si="84"/>
        <v>0</v>
      </c>
      <c r="GO147" s="122">
        <f t="shared" si="85"/>
        <v>0</v>
      </c>
      <c r="GP147" s="122">
        <f t="shared" si="86"/>
        <v>0</v>
      </c>
      <c r="GQ147" s="122">
        <f t="shared" si="87"/>
        <v>0</v>
      </c>
      <c r="GR147" s="122">
        <f t="shared" si="88"/>
        <v>0</v>
      </c>
      <c r="GS147" s="123">
        <f t="shared" si="89"/>
        <v>0</v>
      </c>
      <c r="GT147"/>
      <c r="GU147"/>
      <c r="GV147"/>
      <c r="GW147" s="124"/>
      <c r="GX147" s="118"/>
      <c r="GY147" s="118"/>
      <c r="GZ147" s="118"/>
      <c r="HA147" s="118"/>
      <c r="HB147" s="118"/>
      <c r="HC147" s="118"/>
      <c r="HD147" s="118"/>
      <c r="HE147" s="118"/>
      <c r="HF147" s="118"/>
      <c r="HG147" s="118"/>
      <c r="HH147" s="118"/>
      <c r="HI147" s="118"/>
      <c r="HJ147" s="118"/>
      <c r="HK147" s="118"/>
      <c r="HL147" s="118"/>
    </row>
    <row r="148" spans="1:220" s="74" customFormat="1" ht="30" hidden="1" customHeight="1" x14ac:dyDescent="0.35">
      <c r="A148" s="119">
        <v>139</v>
      </c>
      <c r="B148" s="3"/>
      <c r="C148" s="6"/>
      <c r="D148" s="3"/>
      <c r="E148" s="246"/>
      <c r="F148" s="8"/>
      <c r="G148" s="8"/>
      <c r="H148" s="8"/>
      <c r="I148" s="8"/>
      <c r="J148" s="8"/>
      <c r="K148" s="8"/>
      <c r="L148" s="8"/>
      <c r="M148" s="8"/>
      <c r="N148" s="8"/>
      <c r="O148" s="9"/>
      <c r="P148" s="238"/>
      <c r="Q148" s="12"/>
      <c r="R148" s="8"/>
      <c r="S148" s="8"/>
      <c r="T148" s="8"/>
      <c r="U148" s="8"/>
      <c r="V148" s="8"/>
      <c r="W148" s="8"/>
      <c r="X148" s="8"/>
      <c r="Y148" s="8"/>
      <c r="Z148" s="13"/>
      <c r="AA148" s="238"/>
      <c r="AB148" s="12"/>
      <c r="AC148" s="8"/>
      <c r="AD148" s="8"/>
      <c r="AE148" s="8"/>
      <c r="AF148" s="8"/>
      <c r="AG148" s="8"/>
      <c r="AH148" s="8"/>
      <c r="AI148" s="8"/>
      <c r="AJ148" s="8"/>
      <c r="AK148" s="13"/>
      <c r="AL148" s="238"/>
      <c r="AM148" s="12"/>
      <c r="AN148" s="8"/>
      <c r="AO148" s="8"/>
      <c r="AP148" s="8"/>
      <c r="AQ148" s="8"/>
      <c r="AR148" s="8"/>
      <c r="AS148" s="8"/>
      <c r="AT148" s="8"/>
      <c r="AU148" s="8"/>
      <c r="AV148" s="13"/>
      <c r="AW148" s="238"/>
      <c r="AX148" s="12"/>
      <c r="AY148" s="8"/>
      <c r="AZ148" s="8"/>
      <c r="BA148" s="8"/>
      <c r="BB148" s="8"/>
      <c r="BC148" s="8"/>
      <c r="BD148" s="8"/>
      <c r="BE148" s="8"/>
      <c r="BF148" s="8"/>
      <c r="BG148" s="13"/>
      <c r="BH148" s="238"/>
      <c r="BI148" s="12"/>
      <c r="BJ148" s="8"/>
      <c r="BK148" s="8"/>
      <c r="BL148" s="8"/>
      <c r="BM148" s="8"/>
      <c r="BN148" s="8"/>
      <c r="BO148" s="8"/>
      <c r="BP148" s="8"/>
      <c r="BQ148" s="8"/>
      <c r="BR148" s="13"/>
      <c r="BS148" s="238"/>
      <c r="BT148" s="12"/>
      <c r="BU148" s="8"/>
      <c r="BV148" s="8"/>
      <c r="BW148" s="8"/>
      <c r="BX148" s="8"/>
      <c r="BY148" s="8"/>
      <c r="BZ148" s="8"/>
      <c r="CA148" s="8"/>
      <c r="CB148" s="12"/>
      <c r="CC148" s="8"/>
      <c r="CD148" s="8"/>
      <c r="CE148" s="8"/>
      <c r="CF148" s="8"/>
      <c r="CG148" s="8"/>
      <c r="CH148" s="8"/>
      <c r="CI148" s="238"/>
      <c r="CJ148" s="12"/>
      <c r="CK148" s="8"/>
      <c r="CL148" s="8"/>
      <c r="CM148" s="8"/>
      <c r="CN148" s="8"/>
      <c r="CO148" s="8"/>
      <c r="CP148" s="8"/>
      <c r="CQ148" s="8"/>
      <c r="CR148" s="12"/>
      <c r="CS148" s="8"/>
      <c r="CT148" s="8"/>
      <c r="CU148" s="8"/>
      <c r="CV148" s="8"/>
      <c r="CW148" s="8"/>
      <c r="CX148" s="8"/>
      <c r="CY148" s="238"/>
      <c r="CZ148" s="12"/>
      <c r="DA148" s="8"/>
      <c r="DB148" s="8"/>
      <c r="DC148" s="8"/>
      <c r="DD148" s="8"/>
      <c r="DE148" s="8"/>
      <c r="DF148" s="8"/>
      <c r="DG148" s="8"/>
      <c r="DH148" s="12"/>
      <c r="DI148" s="8"/>
      <c r="DJ148" s="8"/>
      <c r="DK148" s="8"/>
      <c r="DL148" s="8"/>
      <c r="DM148" s="8"/>
      <c r="DN148" s="8"/>
      <c r="DO148" s="238"/>
      <c r="DP148" s="12"/>
      <c r="DQ148" s="8"/>
      <c r="DR148" s="8"/>
      <c r="DS148" s="8"/>
      <c r="DT148" s="8"/>
      <c r="DU148" s="8"/>
      <c r="DV148" s="8"/>
      <c r="DW148" s="8"/>
      <c r="DX148" s="12"/>
      <c r="DY148" s="8"/>
      <c r="DZ148" s="8"/>
      <c r="EA148" s="8"/>
      <c r="EB148" s="8"/>
      <c r="EC148" s="8"/>
      <c r="ED148" s="8"/>
      <c r="EE148" s="238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238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238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238"/>
      <c r="FP148" s="12"/>
      <c r="FQ148" s="12"/>
      <c r="FR148" s="12"/>
      <c r="FS148" s="12"/>
      <c r="FT148" s="12"/>
      <c r="FU148" s="238"/>
      <c r="FV148" s="12"/>
      <c r="FW148" s="12"/>
      <c r="FX148" s="12"/>
      <c r="FY148" s="12"/>
      <c r="FZ148" s="12"/>
      <c r="GA148" s="120"/>
      <c r="GB148" s="118" t="str">
        <f t="shared" si="72"/>
        <v/>
      </c>
      <c r="GC148" s="139" t="str">
        <f t="shared" si="73"/>
        <v/>
      </c>
      <c r="GD148" s="118">
        <f t="shared" si="74"/>
        <v>0</v>
      </c>
      <c r="GE148" s="118">
        <f t="shared" si="75"/>
        <v>0</v>
      </c>
      <c r="GF148" s="118">
        <f t="shared" si="76"/>
        <v>0</v>
      </c>
      <c r="GG148" s="118">
        <f t="shared" si="77"/>
        <v>0</v>
      </c>
      <c r="GH148" s="118">
        <f t="shared" si="78"/>
        <v>0</v>
      </c>
      <c r="GI148" s="118">
        <f t="shared" si="79"/>
        <v>0</v>
      </c>
      <c r="GJ148" s="118">
        <f t="shared" si="80"/>
        <v>0</v>
      </c>
      <c r="GK148" s="118">
        <f t="shared" si="81"/>
        <v>0</v>
      </c>
      <c r="GL148" s="118">
        <f t="shared" si="82"/>
        <v>0</v>
      </c>
      <c r="GM148" s="118">
        <f t="shared" si="83"/>
        <v>0</v>
      </c>
      <c r="GN148" s="118">
        <f t="shared" si="84"/>
        <v>0</v>
      </c>
      <c r="GO148" s="118">
        <f t="shared" si="85"/>
        <v>0</v>
      </c>
      <c r="GP148" s="118">
        <f t="shared" si="86"/>
        <v>0</v>
      </c>
      <c r="GQ148" s="118">
        <f t="shared" si="87"/>
        <v>0</v>
      </c>
      <c r="GR148" s="118">
        <f t="shared" si="88"/>
        <v>0</v>
      </c>
      <c r="GS148" s="121">
        <f t="shared" si="89"/>
        <v>0</v>
      </c>
      <c r="GT148"/>
      <c r="GU148"/>
      <c r="GV148"/>
      <c r="GW148" s="124"/>
      <c r="GX148" s="118"/>
      <c r="GY148" s="118"/>
      <c r="GZ148" s="118"/>
      <c r="HA148" s="118"/>
      <c r="HB148" s="118"/>
      <c r="HC148" s="118"/>
      <c r="HD148" s="118"/>
      <c r="HE148" s="118"/>
      <c r="HF148" s="118"/>
      <c r="HG148" s="118"/>
      <c r="HH148" s="118"/>
      <c r="HI148" s="118"/>
      <c r="HJ148" s="118"/>
      <c r="HK148" s="118"/>
      <c r="HL148" s="118"/>
    </row>
    <row r="149" spans="1:220" s="74" customFormat="1" ht="30" hidden="1" customHeight="1" x14ac:dyDescent="0.35">
      <c r="A149" s="119">
        <v>140</v>
      </c>
      <c r="B149" s="4"/>
      <c r="C149" s="7"/>
      <c r="D149" s="4"/>
      <c r="E149" s="246"/>
      <c r="F149" s="10"/>
      <c r="G149" s="10"/>
      <c r="H149" s="10"/>
      <c r="I149" s="10"/>
      <c r="J149" s="10"/>
      <c r="K149" s="10"/>
      <c r="L149" s="10"/>
      <c r="M149" s="10"/>
      <c r="N149" s="10"/>
      <c r="O149" s="11"/>
      <c r="P149" s="238"/>
      <c r="Q149" s="14"/>
      <c r="R149" s="10"/>
      <c r="S149" s="10"/>
      <c r="T149" s="10"/>
      <c r="U149" s="10"/>
      <c r="V149" s="10"/>
      <c r="W149" s="10"/>
      <c r="X149" s="10"/>
      <c r="Y149" s="10"/>
      <c r="Z149" s="15"/>
      <c r="AA149" s="238"/>
      <c r="AB149" s="14"/>
      <c r="AC149" s="10"/>
      <c r="AD149" s="10"/>
      <c r="AE149" s="10"/>
      <c r="AF149" s="10"/>
      <c r="AG149" s="10"/>
      <c r="AH149" s="10"/>
      <c r="AI149" s="10"/>
      <c r="AJ149" s="10"/>
      <c r="AK149" s="15"/>
      <c r="AL149" s="238"/>
      <c r="AM149" s="14"/>
      <c r="AN149" s="10"/>
      <c r="AO149" s="10"/>
      <c r="AP149" s="10"/>
      <c r="AQ149" s="10"/>
      <c r="AR149" s="10"/>
      <c r="AS149" s="10"/>
      <c r="AT149" s="10"/>
      <c r="AU149" s="10"/>
      <c r="AV149" s="15"/>
      <c r="AW149" s="238"/>
      <c r="AX149" s="14"/>
      <c r="AY149" s="10"/>
      <c r="AZ149" s="10"/>
      <c r="BA149" s="10"/>
      <c r="BB149" s="10"/>
      <c r="BC149" s="10"/>
      <c r="BD149" s="10"/>
      <c r="BE149" s="10"/>
      <c r="BF149" s="10"/>
      <c r="BG149" s="15"/>
      <c r="BH149" s="238"/>
      <c r="BI149" s="14"/>
      <c r="BJ149" s="10"/>
      <c r="BK149" s="10"/>
      <c r="BL149" s="10"/>
      <c r="BM149" s="10"/>
      <c r="BN149" s="10"/>
      <c r="BO149" s="10"/>
      <c r="BP149" s="10"/>
      <c r="BQ149" s="10"/>
      <c r="BR149" s="15"/>
      <c r="BS149" s="238"/>
      <c r="BT149" s="14"/>
      <c r="BU149" s="10"/>
      <c r="BV149" s="10"/>
      <c r="BW149" s="10"/>
      <c r="BX149" s="10"/>
      <c r="BY149" s="10"/>
      <c r="BZ149" s="10"/>
      <c r="CA149" s="10"/>
      <c r="CB149" s="14"/>
      <c r="CC149" s="10"/>
      <c r="CD149" s="10"/>
      <c r="CE149" s="10"/>
      <c r="CF149" s="10"/>
      <c r="CG149" s="10"/>
      <c r="CH149" s="10"/>
      <c r="CI149" s="238"/>
      <c r="CJ149" s="14"/>
      <c r="CK149" s="10"/>
      <c r="CL149" s="10"/>
      <c r="CM149" s="10"/>
      <c r="CN149" s="10"/>
      <c r="CO149" s="10"/>
      <c r="CP149" s="10"/>
      <c r="CQ149" s="10"/>
      <c r="CR149" s="14"/>
      <c r="CS149" s="10"/>
      <c r="CT149" s="10"/>
      <c r="CU149" s="10"/>
      <c r="CV149" s="10"/>
      <c r="CW149" s="10"/>
      <c r="CX149" s="10"/>
      <c r="CY149" s="238"/>
      <c r="CZ149" s="14"/>
      <c r="DA149" s="10"/>
      <c r="DB149" s="10"/>
      <c r="DC149" s="10"/>
      <c r="DD149" s="10"/>
      <c r="DE149" s="10"/>
      <c r="DF149" s="10"/>
      <c r="DG149" s="10"/>
      <c r="DH149" s="14"/>
      <c r="DI149" s="10"/>
      <c r="DJ149" s="10"/>
      <c r="DK149" s="10"/>
      <c r="DL149" s="10"/>
      <c r="DM149" s="10"/>
      <c r="DN149" s="10"/>
      <c r="DO149" s="238"/>
      <c r="DP149" s="14"/>
      <c r="DQ149" s="10"/>
      <c r="DR149" s="10"/>
      <c r="DS149" s="10"/>
      <c r="DT149" s="10"/>
      <c r="DU149" s="10"/>
      <c r="DV149" s="10"/>
      <c r="DW149" s="10"/>
      <c r="DX149" s="14"/>
      <c r="DY149" s="10"/>
      <c r="DZ149" s="10"/>
      <c r="EA149" s="10"/>
      <c r="EB149" s="10"/>
      <c r="EC149" s="10"/>
      <c r="ED149" s="10"/>
      <c r="EE149" s="238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238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/>
      <c r="FC149" s="238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238"/>
      <c r="FP149" s="14"/>
      <c r="FQ149" s="14"/>
      <c r="FR149" s="14"/>
      <c r="FS149" s="14"/>
      <c r="FT149" s="14"/>
      <c r="FU149" s="238"/>
      <c r="FV149" s="14"/>
      <c r="FW149" s="14"/>
      <c r="FX149" s="14"/>
      <c r="FY149" s="14"/>
      <c r="FZ149" s="14"/>
      <c r="GA149" s="120"/>
      <c r="GB149" s="122" t="str">
        <f t="shared" si="72"/>
        <v/>
      </c>
      <c r="GC149" s="140" t="str">
        <f t="shared" si="73"/>
        <v/>
      </c>
      <c r="GD149" s="122">
        <f t="shared" si="74"/>
        <v>0</v>
      </c>
      <c r="GE149" s="122">
        <f t="shared" si="75"/>
        <v>0</v>
      </c>
      <c r="GF149" s="122">
        <f t="shared" si="76"/>
        <v>0</v>
      </c>
      <c r="GG149" s="122">
        <f t="shared" si="77"/>
        <v>0</v>
      </c>
      <c r="GH149" s="122">
        <f t="shared" si="78"/>
        <v>0</v>
      </c>
      <c r="GI149" s="122">
        <f t="shared" si="79"/>
        <v>0</v>
      </c>
      <c r="GJ149" s="122">
        <f t="shared" si="80"/>
        <v>0</v>
      </c>
      <c r="GK149" s="122">
        <f t="shared" si="81"/>
        <v>0</v>
      </c>
      <c r="GL149" s="122">
        <f t="shared" si="82"/>
        <v>0</v>
      </c>
      <c r="GM149" s="122">
        <f t="shared" si="83"/>
        <v>0</v>
      </c>
      <c r="GN149" s="122">
        <f t="shared" si="84"/>
        <v>0</v>
      </c>
      <c r="GO149" s="122">
        <f t="shared" si="85"/>
        <v>0</v>
      </c>
      <c r="GP149" s="122">
        <f t="shared" si="86"/>
        <v>0</v>
      </c>
      <c r="GQ149" s="122">
        <f t="shared" si="87"/>
        <v>0</v>
      </c>
      <c r="GR149" s="122">
        <f t="shared" si="88"/>
        <v>0</v>
      </c>
      <c r="GS149" s="123">
        <f t="shared" si="89"/>
        <v>0</v>
      </c>
      <c r="GT149"/>
      <c r="GU149"/>
      <c r="GV149"/>
      <c r="GW149" s="124"/>
      <c r="GX149" s="118"/>
      <c r="GY149" s="118"/>
      <c r="GZ149" s="118"/>
      <c r="HA149" s="118"/>
      <c r="HB149" s="118"/>
      <c r="HC149" s="118"/>
      <c r="HD149" s="118"/>
      <c r="HE149" s="118"/>
      <c r="HF149" s="118"/>
      <c r="HG149" s="118"/>
      <c r="HH149" s="118"/>
      <c r="HI149" s="118"/>
      <c r="HJ149" s="118"/>
      <c r="HK149" s="118"/>
      <c r="HL149" s="118"/>
    </row>
    <row r="150" spans="1:220" s="74" customFormat="1" ht="30" hidden="1" customHeight="1" x14ac:dyDescent="0.35">
      <c r="A150" s="119">
        <v>141</v>
      </c>
      <c r="B150" s="3"/>
      <c r="C150" s="6"/>
      <c r="D150" s="3"/>
      <c r="E150" s="246"/>
      <c r="F150" s="8"/>
      <c r="G150" s="8"/>
      <c r="H150" s="8"/>
      <c r="I150" s="8"/>
      <c r="J150" s="8"/>
      <c r="K150" s="8"/>
      <c r="L150" s="8"/>
      <c r="M150" s="8"/>
      <c r="N150" s="8"/>
      <c r="O150" s="9"/>
      <c r="P150" s="238"/>
      <c r="Q150" s="12"/>
      <c r="R150" s="8"/>
      <c r="S150" s="8"/>
      <c r="T150" s="8"/>
      <c r="U150" s="8"/>
      <c r="V150" s="8"/>
      <c r="W150" s="8"/>
      <c r="X150" s="8"/>
      <c r="Y150" s="8"/>
      <c r="Z150" s="13"/>
      <c r="AA150" s="238"/>
      <c r="AB150" s="12"/>
      <c r="AC150" s="8"/>
      <c r="AD150" s="8"/>
      <c r="AE150" s="8"/>
      <c r="AF150" s="8"/>
      <c r="AG150" s="8"/>
      <c r="AH150" s="8"/>
      <c r="AI150" s="8"/>
      <c r="AJ150" s="8"/>
      <c r="AK150" s="13"/>
      <c r="AL150" s="238"/>
      <c r="AM150" s="12"/>
      <c r="AN150" s="8"/>
      <c r="AO150" s="8"/>
      <c r="AP150" s="8"/>
      <c r="AQ150" s="8"/>
      <c r="AR150" s="8"/>
      <c r="AS150" s="8"/>
      <c r="AT150" s="8"/>
      <c r="AU150" s="8"/>
      <c r="AV150" s="13"/>
      <c r="AW150" s="238"/>
      <c r="AX150" s="12"/>
      <c r="AY150" s="8"/>
      <c r="AZ150" s="8"/>
      <c r="BA150" s="8"/>
      <c r="BB150" s="8"/>
      <c r="BC150" s="8"/>
      <c r="BD150" s="8"/>
      <c r="BE150" s="8"/>
      <c r="BF150" s="8"/>
      <c r="BG150" s="13"/>
      <c r="BH150" s="238"/>
      <c r="BI150" s="12"/>
      <c r="BJ150" s="8"/>
      <c r="BK150" s="8"/>
      <c r="BL150" s="8"/>
      <c r="BM150" s="8"/>
      <c r="BN150" s="8"/>
      <c r="BO150" s="8"/>
      <c r="BP150" s="8"/>
      <c r="BQ150" s="8"/>
      <c r="BR150" s="13"/>
      <c r="BS150" s="238"/>
      <c r="BT150" s="12"/>
      <c r="BU150" s="8"/>
      <c r="BV150" s="8"/>
      <c r="BW150" s="8"/>
      <c r="BX150" s="8"/>
      <c r="BY150" s="8"/>
      <c r="BZ150" s="8"/>
      <c r="CA150" s="8"/>
      <c r="CB150" s="12"/>
      <c r="CC150" s="8"/>
      <c r="CD150" s="8"/>
      <c r="CE150" s="8"/>
      <c r="CF150" s="8"/>
      <c r="CG150" s="8"/>
      <c r="CH150" s="8"/>
      <c r="CI150" s="238"/>
      <c r="CJ150" s="12"/>
      <c r="CK150" s="8"/>
      <c r="CL150" s="8"/>
      <c r="CM150" s="8"/>
      <c r="CN150" s="8"/>
      <c r="CO150" s="8"/>
      <c r="CP150" s="8"/>
      <c r="CQ150" s="8"/>
      <c r="CR150" s="12"/>
      <c r="CS150" s="8"/>
      <c r="CT150" s="8"/>
      <c r="CU150" s="8"/>
      <c r="CV150" s="8"/>
      <c r="CW150" s="8"/>
      <c r="CX150" s="8"/>
      <c r="CY150" s="238"/>
      <c r="CZ150" s="12"/>
      <c r="DA150" s="8"/>
      <c r="DB150" s="8"/>
      <c r="DC150" s="8"/>
      <c r="DD150" s="8"/>
      <c r="DE150" s="8"/>
      <c r="DF150" s="8"/>
      <c r="DG150" s="8"/>
      <c r="DH150" s="12"/>
      <c r="DI150" s="8"/>
      <c r="DJ150" s="8"/>
      <c r="DK150" s="8"/>
      <c r="DL150" s="8"/>
      <c r="DM150" s="8"/>
      <c r="DN150" s="8"/>
      <c r="DO150" s="238"/>
      <c r="DP150" s="12"/>
      <c r="DQ150" s="8"/>
      <c r="DR150" s="8"/>
      <c r="DS150" s="8"/>
      <c r="DT150" s="8"/>
      <c r="DU150" s="8"/>
      <c r="DV150" s="8"/>
      <c r="DW150" s="8"/>
      <c r="DX150" s="12"/>
      <c r="DY150" s="8"/>
      <c r="DZ150" s="8"/>
      <c r="EA150" s="8"/>
      <c r="EB150" s="8"/>
      <c r="EC150" s="8"/>
      <c r="ED150" s="8"/>
      <c r="EE150" s="238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238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238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238"/>
      <c r="FP150" s="12"/>
      <c r="FQ150" s="12"/>
      <c r="FR150" s="12"/>
      <c r="FS150" s="12"/>
      <c r="FT150" s="12"/>
      <c r="FU150" s="238"/>
      <c r="FV150" s="12"/>
      <c r="FW150" s="12"/>
      <c r="FX150" s="12"/>
      <c r="FY150" s="12"/>
      <c r="FZ150" s="12"/>
      <c r="GA150" s="120"/>
      <c r="GB150" s="118" t="str">
        <f t="shared" si="72"/>
        <v/>
      </c>
      <c r="GC150" s="139" t="str">
        <f t="shared" si="73"/>
        <v/>
      </c>
      <c r="GD150" s="118">
        <f t="shared" si="74"/>
        <v>0</v>
      </c>
      <c r="GE150" s="118">
        <f t="shared" si="75"/>
        <v>0</v>
      </c>
      <c r="GF150" s="118">
        <f t="shared" si="76"/>
        <v>0</v>
      </c>
      <c r="GG150" s="118">
        <f t="shared" si="77"/>
        <v>0</v>
      </c>
      <c r="GH150" s="118">
        <f t="shared" si="78"/>
        <v>0</v>
      </c>
      <c r="GI150" s="118">
        <f t="shared" si="79"/>
        <v>0</v>
      </c>
      <c r="GJ150" s="118">
        <f t="shared" si="80"/>
        <v>0</v>
      </c>
      <c r="GK150" s="118">
        <f t="shared" si="81"/>
        <v>0</v>
      </c>
      <c r="GL150" s="118">
        <f t="shared" si="82"/>
        <v>0</v>
      </c>
      <c r="GM150" s="118">
        <f t="shared" si="83"/>
        <v>0</v>
      </c>
      <c r="GN150" s="118">
        <f t="shared" si="84"/>
        <v>0</v>
      </c>
      <c r="GO150" s="118">
        <f t="shared" si="85"/>
        <v>0</v>
      </c>
      <c r="GP150" s="118">
        <f t="shared" si="86"/>
        <v>0</v>
      </c>
      <c r="GQ150" s="118">
        <f t="shared" si="87"/>
        <v>0</v>
      </c>
      <c r="GR150" s="118">
        <f t="shared" si="88"/>
        <v>0</v>
      </c>
      <c r="GS150" s="121">
        <f t="shared" si="89"/>
        <v>0</v>
      </c>
      <c r="GT150"/>
      <c r="GU150"/>
      <c r="GV150"/>
      <c r="GW150" s="124"/>
      <c r="GX150" s="118"/>
      <c r="GY150" s="118"/>
      <c r="GZ150" s="118"/>
      <c r="HA150" s="118"/>
      <c r="HB150" s="118"/>
      <c r="HC150" s="118"/>
      <c r="HD150" s="118"/>
      <c r="HE150" s="118"/>
      <c r="HF150" s="118"/>
      <c r="HG150" s="118"/>
      <c r="HH150" s="118"/>
      <c r="HI150" s="118"/>
      <c r="HJ150" s="118"/>
      <c r="HK150" s="118"/>
      <c r="HL150" s="118"/>
    </row>
    <row r="151" spans="1:220" s="74" customFormat="1" ht="30" hidden="1" customHeight="1" x14ac:dyDescent="0.35">
      <c r="A151" s="119">
        <v>142</v>
      </c>
      <c r="B151" s="4"/>
      <c r="C151" s="7"/>
      <c r="D151" s="4"/>
      <c r="E151" s="246"/>
      <c r="F151" s="10"/>
      <c r="G151" s="10"/>
      <c r="H151" s="10"/>
      <c r="I151" s="10"/>
      <c r="J151" s="10"/>
      <c r="K151" s="10"/>
      <c r="L151" s="10"/>
      <c r="M151" s="10"/>
      <c r="N151" s="10"/>
      <c r="O151" s="11"/>
      <c r="P151" s="238"/>
      <c r="Q151" s="14"/>
      <c r="R151" s="10"/>
      <c r="S151" s="10"/>
      <c r="T151" s="10"/>
      <c r="U151" s="10"/>
      <c r="V151" s="10"/>
      <c r="W151" s="10"/>
      <c r="X151" s="10"/>
      <c r="Y151" s="10"/>
      <c r="Z151" s="15"/>
      <c r="AA151" s="238"/>
      <c r="AB151" s="14"/>
      <c r="AC151" s="10"/>
      <c r="AD151" s="10"/>
      <c r="AE151" s="10"/>
      <c r="AF151" s="10"/>
      <c r="AG151" s="10"/>
      <c r="AH151" s="10"/>
      <c r="AI151" s="10"/>
      <c r="AJ151" s="10"/>
      <c r="AK151" s="15"/>
      <c r="AL151" s="238"/>
      <c r="AM151" s="14"/>
      <c r="AN151" s="10"/>
      <c r="AO151" s="10"/>
      <c r="AP151" s="10"/>
      <c r="AQ151" s="10"/>
      <c r="AR151" s="10"/>
      <c r="AS151" s="10"/>
      <c r="AT151" s="10"/>
      <c r="AU151" s="10"/>
      <c r="AV151" s="15"/>
      <c r="AW151" s="238"/>
      <c r="AX151" s="14"/>
      <c r="AY151" s="10"/>
      <c r="AZ151" s="10"/>
      <c r="BA151" s="10"/>
      <c r="BB151" s="10"/>
      <c r="BC151" s="10"/>
      <c r="BD151" s="10"/>
      <c r="BE151" s="10"/>
      <c r="BF151" s="10"/>
      <c r="BG151" s="15"/>
      <c r="BH151" s="238"/>
      <c r="BI151" s="14"/>
      <c r="BJ151" s="10"/>
      <c r="BK151" s="10"/>
      <c r="BL151" s="10"/>
      <c r="BM151" s="10"/>
      <c r="BN151" s="10"/>
      <c r="BO151" s="10"/>
      <c r="BP151" s="10"/>
      <c r="BQ151" s="10"/>
      <c r="BR151" s="15"/>
      <c r="BS151" s="238"/>
      <c r="BT151" s="14"/>
      <c r="BU151" s="10"/>
      <c r="BV151" s="10"/>
      <c r="BW151" s="10"/>
      <c r="BX151" s="10"/>
      <c r="BY151" s="10"/>
      <c r="BZ151" s="10"/>
      <c r="CA151" s="10"/>
      <c r="CB151" s="14"/>
      <c r="CC151" s="10"/>
      <c r="CD151" s="10"/>
      <c r="CE151" s="10"/>
      <c r="CF151" s="10"/>
      <c r="CG151" s="10"/>
      <c r="CH151" s="10"/>
      <c r="CI151" s="238"/>
      <c r="CJ151" s="14"/>
      <c r="CK151" s="10"/>
      <c r="CL151" s="10"/>
      <c r="CM151" s="10"/>
      <c r="CN151" s="10"/>
      <c r="CO151" s="10"/>
      <c r="CP151" s="10"/>
      <c r="CQ151" s="10"/>
      <c r="CR151" s="14"/>
      <c r="CS151" s="10"/>
      <c r="CT151" s="10"/>
      <c r="CU151" s="10"/>
      <c r="CV151" s="10"/>
      <c r="CW151" s="10"/>
      <c r="CX151" s="10"/>
      <c r="CY151" s="238"/>
      <c r="CZ151" s="14"/>
      <c r="DA151" s="10"/>
      <c r="DB151" s="10"/>
      <c r="DC151" s="10"/>
      <c r="DD151" s="10"/>
      <c r="DE151" s="10"/>
      <c r="DF151" s="10"/>
      <c r="DG151" s="10"/>
      <c r="DH151" s="14"/>
      <c r="DI151" s="10"/>
      <c r="DJ151" s="10"/>
      <c r="DK151" s="10"/>
      <c r="DL151" s="10"/>
      <c r="DM151" s="10"/>
      <c r="DN151" s="10"/>
      <c r="DO151" s="238"/>
      <c r="DP151" s="14"/>
      <c r="DQ151" s="10"/>
      <c r="DR151" s="10"/>
      <c r="DS151" s="10"/>
      <c r="DT151" s="10"/>
      <c r="DU151" s="10"/>
      <c r="DV151" s="10"/>
      <c r="DW151" s="10"/>
      <c r="DX151" s="14"/>
      <c r="DY151" s="10"/>
      <c r="DZ151" s="10"/>
      <c r="EA151" s="10"/>
      <c r="EB151" s="10"/>
      <c r="EC151" s="10"/>
      <c r="ED151" s="10"/>
      <c r="EE151" s="238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238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238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238"/>
      <c r="FP151" s="14"/>
      <c r="FQ151" s="14"/>
      <c r="FR151" s="14"/>
      <c r="FS151" s="14"/>
      <c r="FT151" s="14"/>
      <c r="FU151" s="238"/>
      <c r="FV151" s="14"/>
      <c r="FW151" s="14"/>
      <c r="FX151" s="14"/>
      <c r="FY151" s="14"/>
      <c r="FZ151" s="14"/>
      <c r="GA151" s="120"/>
      <c r="GB151" s="122" t="str">
        <f t="shared" si="72"/>
        <v/>
      </c>
      <c r="GC151" s="140" t="str">
        <f t="shared" si="73"/>
        <v/>
      </c>
      <c r="GD151" s="122">
        <f t="shared" si="74"/>
        <v>0</v>
      </c>
      <c r="GE151" s="122">
        <f t="shared" si="75"/>
        <v>0</v>
      </c>
      <c r="GF151" s="122">
        <f t="shared" si="76"/>
        <v>0</v>
      </c>
      <c r="GG151" s="122">
        <f t="shared" si="77"/>
        <v>0</v>
      </c>
      <c r="GH151" s="122">
        <f t="shared" si="78"/>
        <v>0</v>
      </c>
      <c r="GI151" s="122">
        <f t="shared" si="79"/>
        <v>0</v>
      </c>
      <c r="GJ151" s="122">
        <f t="shared" si="80"/>
        <v>0</v>
      </c>
      <c r="GK151" s="122">
        <f t="shared" si="81"/>
        <v>0</v>
      </c>
      <c r="GL151" s="122">
        <f t="shared" si="82"/>
        <v>0</v>
      </c>
      <c r="GM151" s="122">
        <f t="shared" si="83"/>
        <v>0</v>
      </c>
      <c r="GN151" s="122">
        <f t="shared" si="84"/>
        <v>0</v>
      </c>
      <c r="GO151" s="122">
        <f t="shared" si="85"/>
        <v>0</v>
      </c>
      <c r="GP151" s="122">
        <f t="shared" si="86"/>
        <v>0</v>
      </c>
      <c r="GQ151" s="122">
        <f t="shared" si="87"/>
        <v>0</v>
      </c>
      <c r="GR151" s="122">
        <f t="shared" si="88"/>
        <v>0</v>
      </c>
      <c r="GS151" s="123">
        <f t="shared" si="89"/>
        <v>0</v>
      </c>
      <c r="GT151"/>
      <c r="GU151"/>
      <c r="GV151"/>
      <c r="GW151" s="124"/>
      <c r="GX151" s="118"/>
      <c r="GY151" s="118"/>
      <c r="GZ151" s="118"/>
      <c r="HA151" s="118"/>
      <c r="HB151" s="118"/>
      <c r="HC151" s="118"/>
      <c r="HD151" s="118"/>
      <c r="HE151" s="118"/>
      <c r="HF151" s="118"/>
      <c r="HG151" s="118"/>
      <c r="HH151" s="118"/>
      <c r="HI151" s="118"/>
      <c r="HJ151" s="118"/>
      <c r="HK151" s="118"/>
      <c r="HL151" s="118"/>
    </row>
    <row r="152" spans="1:220" s="74" customFormat="1" ht="30" hidden="1" customHeight="1" x14ac:dyDescent="0.35">
      <c r="A152" s="119">
        <v>143</v>
      </c>
      <c r="B152" s="3"/>
      <c r="C152" s="6"/>
      <c r="D152" s="3"/>
      <c r="E152" s="246"/>
      <c r="F152" s="8"/>
      <c r="G152" s="8"/>
      <c r="H152" s="8"/>
      <c r="I152" s="8"/>
      <c r="J152" s="8"/>
      <c r="K152" s="8"/>
      <c r="L152" s="8"/>
      <c r="M152" s="8"/>
      <c r="N152" s="8"/>
      <c r="O152" s="9"/>
      <c r="P152" s="238"/>
      <c r="Q152" s="12"/>
      <c r="R152" s="8"/>
      <c r="S152" s="8"/>
      <c r="T152" s="8"/>
      <c r="U152" s="8"/>
      <c r="V152" s="8"/>
      <c r="W152" s="8"/>
      <c r="X152" s="8"/>
      <c r="Y152" s="8"/>
      <c r="Z152" s="13"/>
      <c r="AA152" s="238"/>
      <c r="AB152" s="12"/>
      <c r="AC152" s="8"/>
      <c r="AD152" s="8"/>
      <c r="AE152" s="8"/>
      <c r="AF152" s="8"/>
      <c r="AG152" s="8"/>
      <c r="AH152" s="8"/>
      <c r="AI152" s="8"/>
      <c r="AJ152" s="8"/>
      <c r="AK152" s="13"/>
      <c r="AL152" s="238"/>
      <c r="AM152" s="12"/>
      <c r="AN152" s="8"/>
      <c r="AO152" s="8"/>
      <c r="AP152" s="8"/>
      <c r="AQ152" s="8"/>
      <c r="AR152" s="8"/>
      <c r="AS152" s="8"/>
      <c r="AT152" s="8"/>
      <c r="AU152" s="8"/>
      <c r="AV152" s="13"/>
      <c r="AW152" s="238"/>
      <c r="AX152" s="12"/>
      <c r="AY152" s="8"/>
      <c r="AZ152" s="8"/>
      <c r="BA152" s="8"/>
      <c r="BB152" s="8"/>
      <c r="BC152" s="8"/>
      <c r="BD152" s="8"/>
      <c r="BE152" s="8"/>
      <c r="BF152" s="8"/>
      <c r="BG152" s="13"/>
      <c r="BH152" s="238"/>
      <c r="BI152" s="12"/>
      <c r="BJ152" s="8"/>
      <c r="BK152" s="8"/>
      <c r="BL152" s="8"/>
      <c r="BM152" s="8"/>
      <c r="BN152" s="8"/>
      <c r="BO152" s="8"/>
      <c r="BP152" s="8"/>
      <c r="BQ152" s="8"/>
      <c r="BR152" s="13"/>
      <c r="BS152" s="238"/>
      <c r="BT152" s="12"/>
      <c r="BU152" s="8"/>
      <c r="BV152" s="8"/>
      <c r="BW152" s="8"/>
      <c r="BX152" s="8"/>
      <c r="BY152" s="8"/>
      <c r="BZ152" s="8"/>
      <c r="CA152" s="8"/>
      <c r="CB152" s="12"/>
      <c r="CC152" s="8"/>
      <c r="CD152" s="8"/>
      <c r="CE152" s="8"/>
      <c r="CF152" s="8"/>
      <c r="CG152" s="8"/>
      <c r="CH152" s="8"/>
      <c r="CI152" s="238"/>
      <c r="CJ152" s="12"/>
      <c r="CK152" s="8"/>
      <c r="CL152" s="8"/>
      <c r="CM152" s="8"/>
      <c r="CN152" s="8"/>
      <c r="CO152" s="8"/>
      <c r="CP152" s="8"/>
      <c r="CQ152" s="8"/>
      <c r="CR152" s="12"/>
      <c r="CS152" s="8"/>
      <c r="CT152" s="8"/>
      <c r="CU152" s="8"/>
      <c r="CV152" s="8"/>
      <c r="CW152" s="8"/>
      <c r="CX152" s="8"/>
      <c r="CY152" s="238"/>
      <c r="CZ152" s="12"/>
      <c r="DA152" s="8"/>
      <c r="DB152" s="8"/>
      <c r="DC152" s="8"/>
      <c r="DD152" s="8"/>
      <c r="DE152" s="8"/>
      <c r="DF152" s="8"/>
      <c r="DG152" s="8"/>
      <c r="DH152" s="12"/>
      <c r="DI152" s="8"/>
      <c r="DJ152" s="8"/>
      <c r="DK152" s="8"/>
      <c r="DL152" s="8"/>
      <c r="DM152" s="8"/>
      <c r="DN152" s="8"/>
      <c r="DO152" s="238"/>
      <c r="DP152" s="12"/>
      <c r="DQ152" s="8"/>
      <c r="DR152" s="8"/>
      <c r="DS152" s="8"/>
      <c r="DT152" s="8"/>
      <c r="DU152" s="8"/>
      <c r="DV152" s="8"/>
      <c r="DW152" s="8"/>
      <c r="DX152" s="12"/>
      <c r="DY152" s="8"/>
      <c r="DZ152" s="8"/>
      <c r="EA152" s="8"/>
      <c r="EB152" s="8"/>
      <c r="EC152" s="8"/>
      <c r="ED152" s="8"/>
      <c r="EE152" s="238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238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238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238"/>
      <c r="FP152" s="12"/>
      <c r="FQ152" s="12"/>
      <c r="FR152" s="12"/>
      <c r="FS152" s="12"/>
      <c r="FT152" s="12"/>
      <c r="FU152" s="238"/>
      <c r="FV152" s="12"/>
      <c r="FW152" s="12"/>
      <c r="FX152" s="12"/>
      <c r="FY152" s="12"/>
      <c r="FZ152" s="12"/>
      <c r="GA152" s="120"/>
      <c r="GB152" s="118" t="str">
        <f t="shared" si="72"/>
        <v/>
      </c>
      <c r="GC152" s="139" t="str">
        <f t="shared" si="73"/>
        <v/>
      </c>
      <c r="GD152" s="118">
        <f t="shared" si="74"/>
        <v>0</v>
      </c>
      <c r="GE152" s="118">
        <f t="shared" si="75"/>
        <v>0</v>
      </c>
      <c r="GF152" s="118">
        <f t="shared" si="76"/>
        <v>0</v>
      </c>
      <c r="GG152" s="118">
        <f t="shared" si="77"/>
        <v>0</v>
      </c>
      <c r="GH152" s="118">
        <f t="shared" si="78"/>
        <v>0</v>
      </c>
      <c r="GI152" s="118">
        <f t="shared" si="79"/>
        <v>0</v>
      </c>
      <c r="GJ152" s="118">
        <f t="shared" si="80"/>
        <v>0</v>
      </c>
      <c r="GK152" s="118">
        <f t="shared" si="81"/>
        <v>0</v>
      </c>
      <c r="GL152" s="118">
        <f t="shared" si="82"/>
        <v>0</v>
      </c>
      <c r="GM152" s="118">
        <f t="shared" si="83"/>
        <v>0</v>
      </c>
      <c r="GN152" s="118">
        <f t="shared" si="84"/>
        <v>0</v>
      </c>
      <c r="GO152" s="118">
        <f t="shared" si="85"/>
        <v>0</v>
      </c>
      <c r="GP152" s="118">
        <f t="shared" si="86"/>
        <v>0</v>
      </c>
      <c r="GQ152" s="118">
        <f t="shared" si="87"/>
        <v>0</v>
      </c>
      <c r="GR152" s="118">
        <f t="shared" si="88"/>
        <v>0</v>
      </c>
      <c r="GS152" s="121">
        <f t="shared" si="89"/>
        <v>0</v>
      </c>
      <c r="GT152"/>
      <c r="GU152"/>
      <c r="GV152"/>
      <c r="GW152" s="124"/>
      <c r="GX152" s="118"/>
      <c r="GY152" s="118"/>
      <c r="GZ152" s="118"/>
      <c r="HA152" s="118"/>
      <c r="HB152" s="118"/>
      <c r="HC152" s="118"/>
      <c r="HD152" s="118"/>
      <c r="HE152" s="118"/>
      <c r="HF152" s="118"/>
      <c r="HG152" s="118"/>
      <c r="HH152" s="118"/>
      <c r="HI152" s="118"/>
      <c r="HJ152" s="118"/>
      <c r="HK152" s="118"/>
      <c r="HL152" s="118"/>
    </row>
    <row r="153" spans="1:220" s="74" customFormat="1" ht="30" hidden="1" customHeight="1" x14ac:dyDescent="0.35">
      <c r="A153" s="119">
        <v>144</v>
      </c>
      <c r="B153" s="4"/>
      <c r="C153" s="7"/>
      <c r="D153" s="4"/>
      <c r="E153" s="246"/>
      <c r="F153" s="10"/>
      <c r="G153" s="10"/>
      <c r="H153" s="10"/>
      <c r="I153" s="10"/>
      <c r="J153" s="10"/>
      <c r="K153" s="10"/>
      <c r="L153" s="10"/>
      <c r="M153" s="10"/>
      <c r="N153" s="10"/>
      <c r="O153" s="11"/>
      <c r="P153" s="238"/>
      <c r="Q153" s="14"/>
      <c r="R153" s="10"/>
      <c r="S153" s="10"/>
      <c r="T153" s="10"/>
      <c r="U153" s="10"/>
      <c r="V153" s="10"/>
      <c r="W153" s="10"/>
      <c r="X153" s="10"/>
      <c r="Y153" s="10"/>
      <c r="Z153" s="15"/>
      <c r="AA153" s="238"/>
      <c r="AB153" s="14"/>
      <c r="AC153" s="10"/>
      <c r="AD153" s="10"/>
      <c r="AE153" s="10"/>
      <c r="AF153" s="10"/>
      <c r="AG153" s="10"/>
      <c r="AH153" s="10"/>
      <c r="AI153" s="10"/>
      <c r="AJ153" s="10"/>
      <c r="AK153" s="15"/>
      <c r="AL153" s="238"/>
      <c r="AM153" s="14"/>
      <c r="AN153" s="10"/>
      <c r="AO153" s="10"/>
      <c r="AP153" s="10"/>
      <c r="AQ153" s="10"/>
      <c r="AR153" s="10"/>
      <c r="AS153" s="10"/>
      <c r="AT153" s="10"/>
      <c r="AU153" s="10"/>
      <c r="AV153" s="15"/>
      <c r="AW153" s="238"/>
      <c r="AX153" s="14"/>
      <c r="AY153" s="10"/>
      <c r="AZ153" s="10"/>
      <c r="BA153" s="10"/>
      <c r="BB153" s="10"/>
      <c r="BC153" s="10"/>
      <c r="BD153" s="10"/>
      <c r="BE153" s="10"/>
      <c r="BF153" s="10"/>
      <c r="BG153" s="15"/>
      <c r="BH153" s="238"/>
      <c r="BI153" s="14"/>
      <c r="BJ153" s="10"/>
      <c r="BK153" s="10"/>
      <c r="BL153" s="10"/>
      <c r="BM153" s="10"/>
      <c r="BN153" s="10"/>
      <c r="BO153" s="10"/>
      <c r="BP153" s="10"/>
      <c r="BQ153" s="10"/>
      <c r="BR153" s="15"/>
      <c r="BS153" s="238"/>
      <c r="BT153" s="14"/>
      <c r="BU153" s="10"/>
      <c r="BV153" s="10"/>
      <c r="BW153" s="10"/>
      <c r="BX153" s="10"/>
      <c r="BY153" s="10"/>
      <c r="BZ153" s="10"/>
      <c r="CA153" s="10"/>
      <c r="CB153" s="14"/>
      <c r="CC153" s="10"/>
      <c r="CD153" s="10"/>
      <c r="CE153" s="10"/>
      <c r="CF153" s="10"/>
      <c r="CG153" s="10"/>
      <c r="CH153" s="10"/>
      <c r="CI153" s="238"/>
      <c r="CJ153" s="14"/>
      <c r="CK153" s="10"/>
      <c r="CL153" s="10"/>
      <c r="CM153" s="10"/>
      <c r="CN153" s="10"/>
      <c r="CO153" s="10"/>
      <c r="CP153" s="10"/>
      <c r="CQ153" s="10"/>
      <c r="CR153" s="14"/>
      <c r="CS153" s="10"/>
      <c r="CT153" s="10"/>
      <c r="CU153" s="10"/>
      <c r="CV153" s="10"/>
      <c r="CW153" s="10"/>
      <c r="CX153" s="10"/>
      <c r="CY153" s="238"/>
      <c r="CZ153" s="14"/>
      <c r="DA153" s="10"/>
      <c r="DB153" s="10"/>
      <c r="DC153" s="10"/>
      <c r="DD153" s="10"/>
      <c r="DE153" s="10"/>
      <c r="DF153" s="10"/>
      <c r="DG153" s="10"/>
      <c r="DH153" s="14"/>
      <c r="DI153" s="10"/>
      <c r="DJ153" s="10"/>
      <c r="DK153" s="10"/>
      <c r="DL153" s="10"/>
      <c r="DM153" s="10"/>
      <c r="DN153" s="10"/>
      <c r="DO153" s="238"/>
      <c r="DP153" s="14"/>
      <c r="DQ153" s="10"/>
      <c r="DR153" s="10"/>
      <c r="DS153" s="10"/>
      <c r="DT153" s="10"/>
      <c r="DU153" s="10"/>
      <c r="DV153" s="10"/>
      <c r="DW153" s="10"/>
      <c r="DX153" s="14"/>
      <c r="DY153" s="10"/>
      <c r="DZ153" s="10"/>
      <c r="EA153" s="10"/>
      <c r="EB153" s="10"/>
      <c r="EC153" s="10"/>
      <c r="ED153" s="10"/>
      <c r="EE153" s="238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238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238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238"/>
      <c r="FP153" s="14"/>
      <c r="FQ153" s="14"/>
      <c r="FR153" s="14"/>
      <c r="FS153" s="14"/>
      <c r="FT153" s="14"/>
      <c r="FU153" s="238"/>
      <c r="FV153" s="14"/>
      <c r="FW153" s="14"/>
      <c r="FX153" s="14"/>
      <c r="FY153" s="14"/>
      <c r="FZ153" s="14"/>
      <c r="GA153" s="120"/>
      <c r="GB153" s="122" t="str">
        <f t="shared" si="72"/>
        <v/>
      </c>
      <c r="GC153" s="140" t="str">
        <f t="shared" si="73"/>
        <v/>
      </c>
      <c r="GD153" s="122">
        <f t="shared" si="74"/>
        <v>0</v>
      </c>
      <c r="GE153" s="122">
        <f t="shared" si="75"/>
        <v>0</v>
      </c>
      <c r="GF153" s="122">
        <f t="shared" si="76"/>
        <v>0</v>
      </c>
      <c r="GG153" s="122">
        <f t="shared" si="77"/>
        <v>0</v>
      </c>
      <c r="GH153" s="122">
        <f t="shared" si="78"/>
        <v>0</v>
      </c>
      <c r="GI153" s="122">
        <f t="shared" si="79"/>
        <v>0</v>
      </c>
      <c r="GJ153" s="122">
        <f t="shared" si="80"/>
        <v>0</v>
      </c>
      <c r="GK153" s="122">
        <f t="shared" si="81"/>
        <v>0</v>
      </c>
      <c r="GL153" s="122">
        <f t="shared" si="82"/>
        <v>0</v>
      </c>
      <c r="GM153" s="122">
        <f t="shared" si="83"/>
        <v>0</v>
      </c>
      <c r="GN153" s="122">
        <f t="shared" si="84"/>
        <v>0</v>
      </c>
      <c r="GO153" s="122">
        <f t="shared" si="85"/>
        <v>0</v>
      </c>
      <c r="GP153" s="122">
        <f t="shared" si="86"/>
        <v>0</v>
      </c>
      <c r="GQ153" s="122">
        <f t="shared" si="87"/>
        <v>0</v>
      </c>
      <c r="GR153" s="122">
        <f t="shared" si="88"/>
        <v>0</v>
      </c>
      <c r="GS153" s="123">
        <f t="shared" si="89"/>
        <v>0</v>
      </c>
      <c r="GT153"/>
      <c r="GU153"/>
      <c r="GV153"/>
      <c r="GW153" s="124"/>
      <c r="GX153" s="118"/>
      <c r="GY153" s="118"/>
      <c r="GZ153" s="118"/>
      <c r="HA153" s="118"/>
      <c r="HB153" s="118"/>
      <c r="HC153" s="118"/>
      <c r="HD153" s="118"/>
      <c r="HE153" s="118"/>
      <c r="HF153" s="118"/>
      <c r="HG153" s="118"/>
      <c r="HH153" s="118"/>
      <c r="HI153" s="118"/>
      <c r="HJ153" s="118"/>
      <c r="HK153" s="118"/>
      <c r="HL153" s="118"/>
    </row>
    <row r="154" spans="1:220" s="74" customFormat="1" ht="30" hidden="1" customHeight="1" x14ac:dyDescent="0.35">
      <c r="A154" s="119">
        <v>145</v>
      </c>
      <c r="B154" s="3"/>
      <c r="C154" s="6"/>
      <c r="D154" s="3"/>
      <c r="E154" s="246"/>
      <c r="F154" s="8"/>
      <c r="G154" s="8"/>
      <c r="H154" s="8"/>
      <c r="I154" s="8"/>
      <c r="J154" s="8"/>
      <c r="K154" s="8"/>
      <c r="L154" s="8"/>
      <c r="M154" s="8"/>
      <c r="N154" s="8"/>
      <c r="O154" s="9"/>
      <c r="P154" s="238"/>
      <c r="Q154" s="12"/>
      <c r="R154" s="8"/>
      <c r="S154" s="8"/>
      <c r="T154" s="8"/>
      <c r="U154" s="8"/>
      <c r="V154" s="8"/>
      <c r="W154" s="8"/>
      <c r="X154" s="8"/>
      <c r="Y154" s="8"/>
      <c r="Z154" s="13"/>
      <c r="AA154" s="238"/>
      <c r="AB154" s="12"/>
      <c r="AC154" s="8"/>
      <c r="AD154" s="8"/>
      <c r="AE154" s="8"/>
      <c r="AF154" s="8"/>
      <c r="AG154" s="8"/>
      <c r="AH154" s="8"/>
      <c r="AI154" s="8"/>
      <c r="AJ154" s="8"/>
      <c r="AK154" s="13"/>
      <c r="AL154" s="238"/>
      <c r="AM154" s="12"/>
      <c r="AN154" s="8"/>
      <c r="AO154" s="8"/>
      <c r="AP154" s="8"/>
      <c r="AQ154" s="8"/>
      <c r="AR154" s="8"/>
      <c r="AS154" s="8"/>
      <c r="AT154" s="8"/>
      <c r="AU154" s="8"/>
      <c r="AV154" s="13"/>
      <c r="AW154" s="238"/>
      <c r="AX154" s="12"/>
      <c r="AY154" s="8"/>
      <c r="AZ154" s="8"/>
      <c r="BA154" s="8"/>
      <c r="BB154" s="8"/>
      <c r="BC154" s="8"/>
      <c r="BD154" s="8"/>
      <c r="BE154" s="8"/>
      <c r="BF154" s="8"/>
      <c r="BG154" s="13"/>
      <c r="BH154" s="238"/>
      <c r="BI154" s="12"/>
      <c r="BJ154" s="8"/>
      <c r="BK154" s="8"/>
      <c r="BL154" s="8"/>
      <c r="BM154" s="8"/>
      <c r="BN154" s="8"/>
      <c r="BO154" s="8"/>
      <c r="BP154" s="8"/>
      <c r="BQ154" s="8"/>
      <c r="BR154" s="13"/>
      <c r="BS154" s="238"/>
      <c r="BT154" s="12"/>
      <c r="BU154" s="8"/>
      <c r="BV154" s="8"/>
      <c r="BW154" s="8"/>
      <c r="BX154" s="8"/>
      <c r="BY154" s="8"/>
      <c r="BZ154" s="8"/>
      <c r="CA154" s="8"/>
      <c r="CB154" s="12"/>
      <c r="CC154" s="8"/>
      <c r="CD154" s="8"/>
      <c r="CE154" s="8"/>
      <c r="CF154" s="8"/>
      <c r="CG154" s="8"/>
      <c r="CH154" s="8"/>
      <c r="CI154" s="238"/>
      <c r="CJ154" s="12"/>
      <c r="CK154" s="8"/>
      <c r="CL154" s="8"/>
      <c r="CM154" s="8"/>
      <c r="CN154" s="8"/>
      <c r="CO154" s="8"/>
      <c r="CP154" s="8"/>
      <c r="CQ154" s="8"/>
      <c r="CR154" s="12"/>
      <c r="CS154" s="8"/>
      <c r="CT154" s="8"/>
      <c r="CU154" s="8"/>
      <c r="CV154" s="8"/>
      <c r="CW154" s="8"/>
      <c r="CX154" s="8"/>
      <c r="CY154" s="238"/>
      <c r="CZ154" s="12"/>
      <c r="DA154" s="8"/>
      <c r="DB154" s="8"/>
      <c r="DC154" s="8"/>
      <c r="DD154" s="8"/>
      <c r="DE154" s="8"/>
      <c r="DF154" s="8"/>
      <c r="DG154" s="8"/>
      <c r="DH154" s="12"/>
      <c r="DI154" s="8"/>
      <c r="DJ154" s="8"/>
      <c r="DK154" s="8"/>
      <c r="DL154" s="8"/>
      <c r="DM154" s="8"/>
      <c r="DN154" s="8"/>
      <c r="DO154" s="238"/>
      <c r="DP154" s="12"/>
      <c r="DQ154" s="8"/>
      <c r="DR154" s="8"/>
      <c r="DS154" s="8"/>
      <c r="DT154" s="8"/>
      <c r="DU154" s="8"/>
      <c r="DV154" s="8"/>
      <c r="DW154" s="8"/>
      <c r="DX154" s="12"/>
      <c r="DY154" s="8"/>
      <c r="DZ154" s="8"/>
      <c r="EA154" s="8"/>
      <c r="EB154" s="8"/>
      <c r="EC154" s="8"/>
      <c r="ED154" s="8"/>
      <c r="EE154" s="238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238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238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238"/>
      <c r="FP154" s="12"/>
      <c r="FQ154" s="12"/>
      <c r="FR154" s="12"/>
      <c r="FS154" s="12"/>
      <c r="FT154" s="12"/>
      <c r="FU154" s="238"/>
      <c r="FV154" s="12"/>
      <c r="FW154" s="12"/>
      <c r="FX154" s="12"/>
      <c r="FY154" s="12"/>
      <c r="FZ154" s="12"/>
      <c r="GA154" s="120"/>
      <c r="GB154" s="118" t="str">
        <f t="shared" si="72"/>
        <v/>
      </c>
      <c r="GC154" s="139" t="str">
        <f t="shared" si="73"/>
        <v/>
      </c>
      <c r="GD154" s="118">
        <f t="shared" si="74"/>
        <v>0</v>
      </c>
      <c r="GE154" s="118">
        <f t="shared" si="75"/>
        <v>0</v>
      </c>
      <c r="GF154" s="118">
        <f t="shared" si="76"/>
        <v>0</v>
      </c>
      <c r="GG154" s="118">
        <f t="shared" si="77"/>
        <v>0</v>
      </c>
      <c r="GH154" s="118">
        <f t="shared" si="78"/>
        <v>0</v>
      </c>
      <c r="GI154" s="118">
        <f t="shared" si="79"/>
        <v>0</v>
      </c>
      <c r="GJ154" s="118">
        <f t="shared" si="80"/>
        <v>0</v>
      </c>
      <c r="GK154" s="118">
        <f t="shared" si="81"/>
        <v>0</v>
      </c>
      <c r="GL154" s="118">
        <f t="shared" si="82"/>
        <v>0</v>
      </c>
      <c r="GM154" s="118">
        <f t="shared" si="83"/>
        <v>0</v>
      </c>
      <c r="GN154" s="118">
        <f t="shared" si="84"/>
        <v>0</v>
      </c>
      <c r="GO154" s="118">
        <f t="shared" si="85"/>
        <v>0</v>
      </c>
      <c r="GP154" s="118">
        <f t="shared" si="86"/>
        <v>0</v>
      </c>
      <c r="GQ154" s="118">
        <f t="shared" si="87"/>
        <v>0</v>
      </c>
      <c r="GR154" s="118">
        <f t="shared" si="88"/>
        <v>0</v>
      </c>
      <c r="GS154" s="121">
        <f t="shared" si="89"/>
        <v>0</v>
      </c>
      <c r="GT154"/>
      <c r="GU154"/>
      <c r="GV154"/>
      <c r="GW154" s="124"/>
      <c r="GX154" s="118"/>
      <c r="GY154" s="118"/>
      <c r="GZ154" s="118"/>
      <c r="HA154" s="118"/>
      <c r="HB154" s="118"/>
      <c r="HC154" s="118"/>
      <c r="HD154" s="118"/>
      <c r="HE154" s="118"/>
      <c r="HF154" s="118"/>
      <c r="HG154" s="118"/>
      <c r="HH154" s="118"/>
      <c r="HI154" s="118"/>
      <c r="HJ154" s="118"/>
      <c r="HK154" s="118"/>
      <c r="HL154" s="118"/>
    </row>
    <row r="155" spans="1:220" s="74" customFormat="1" ht="30" hidden="1" customHeight="1" x14ac:dyDescent="0.35">
      <c r="A155" s="119">
        <v>146</v>
      </c>
      <c r="B155" s="4"/>
      <c r="C155" s="7"/>
      <c r="D155" s="4"/>
      <c r="E155" s="246"/>
      <c r="F155" s="10"/>
      <c r="G155" s="10"/>
      <c r="H155" s="10"/>
      <c r="I155" s="10"/>
      <c r="J155" s="10"/>
      <c r="K155" s="10"/>
      <c r="L155" s="10"/>
      <c r="M155" s="10"/>
      <c r="N155" s="10"/>
      <c r="O155" s="11"/>
      <c r="P155" s="238"/>
      <c r="Q155" s="14"/>
      <c r="R155" s="10"/>
      <c r="S155" s="10"/>
      <c r="T155" s="10"/>
      <c r="U155" s="10"/>
      <c r="V155" s="10"/>
      <c r="W155" s="10"/>
      <c r="X155" s="10"/>
      <c r="Y155" s="10"/>
      <c r="Z155" s="15"/>
      <c r="AA155" s="238"/>
      <c r="AB155" s="14"/>
      <c r="AC155" s="10"/>
      <c r="AD155" s="10"/>
      <c r="AE155" s="10"/>
      <c r="AF155" s="10"/>
      <c r="AG155" s="10"/>
      <c r="AH155" s="10"/>
      <c r="AI155" s="10"/>
      <c r="AJ155" s="10"/>
      <c r="AK155" s="15"/>
      <c r="AL155" s="238"/>
      <c r="AM155" s="14"/>
      <c r="AN155" s="10"/>
      <c r="AO155" s="10"/>
      <c r="AP155" s="10"/>
      <c r="AQ155" s="10"/>
      <c r="AR155" s="10"/>
      <c r="AS155" s="10"/>
      <c r="AT155" s="10"/>
      <c r="AU155" s="10"/>
      <c r="AV155" s="15"/>
      <c r="AW155" s="238"/>
      <c r="AX155" s="14"/>
      <c r="AY155" s="10"/>
      <c r="AZ155" s="10"/>
      <c r="BA155" s="10"/>
      <c r="BB155" s="10"/>
      <c r="BC155" s="10"/>
      <c r="BD155" s="10"/>
      <c r="BE155" s="10"/>
      <c r="BF155" s="10"/>
      <c r="BG155" s="15"/>
      <c r="BH155" s="238"/>
      <c r="BI155" s="14"/>
      <c r="BJ155" s="10"/>
      <c r="BK155" s="10"/>
      <c r="BL155" s="10"/>
      <c r="BM155" s="10"/>
      <c r="BN155" s="10"/>
      <c r="BO155" s="10"/>
      <c r="BP155" s="10"/>
      <c r="BQ155" s="10"/>
      <c r="BR155" s="15"/>
      <c r="BS155" s="238"/>
      <c r="BT155" s="14"/>
      <c r="BU155" s="10"/>
      <c r="BV155" s="10"/>
      <c r="BW155" s="10"/>
      <c r="BX155" s="10"/>
      <c r="BY155" s="10"/>
      <c r="BZ155" s="10"/>
      <c r="CA155" s="10"/>
      <c r="CB155" s="14"/>
      <c r="CC155" s="10"/>
      <c r="CD155" s="10"/>
      <c r="CE155" s="10"/>
      <c r="CF155" s="10"/>
      <c r="CG155" s="10"/>
      <c r="CH155" s="10"/>
      <c r="CI155" s="238"/>
      <c r="CJ155" s="14"/>
      <c r="CK155" s="10"/>
      <c r="CL155" s="10"/>
      <c r="CM155" s="10"/>
      <c r="CN155" s="10"/>
      <c r="CO155" s="10"/>
      <c r="CP155" s="10"/>
      <c r="CQ155" s="10"/>
      <c r="CR155" s="14"/>
      <c r="CS155" s="10"/>
      <c r="CT155" s="10"/>
      <c r="CU155" s="10"/>
      <c r="CV155" s="10"/>
      <c r="CW155" s="10"/>
      <c r="CX155" s="10"/>
      <c r="CY155" s="238"/>
      <c r="CZ155" s="14"/>
      <c r="DA155" s="10"/>
      <c r="DB155" s="10"/>
      <c r="DC155" s="10"/>
      <c r="DD155" s="10"/>
      <c r="DE155" s="10"/>
      <c r="DF155" s="10"/>
      <c r="DG155" s="10"/>
      <c r="DH155" s="14"/>
      <c r="DI155" s="10"/>
      <c r="DJ155" s="10"/>
      <c r="DK155" s="10"/>
      <c r="DL155" s="10"/>
      <c r="DM155" s="10"/>
      <c r="DN155" s="10"/>
      <c r="DO155" s="238"/>
      <c r="DP155" s="14"/>
      <c r="DQ155" s="10"/>
      <c r="DR155" s="10"/>
      <c r="DS155" s="10"/>
      <c r="DT155" s="10"/>
      <c r="DU155" s="10"/>
      <c r="DV155" s="10"/>
      <c r="DW155" s="10"/>
      <c r="DX155" s="14"/>
      <c r="DY155" s="10"/>
      <c r="DZ155" s="10"/>
      <c r="EA155" s="10"/>
      <c r="EB155" s="10"/>
      <c r="EC155" s="10"/>
      <c r="ED155" s="10"/>
      <c r="EE155" s="238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238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238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238"/>
      <c r="FP155" s="14"/>
      <c r="FQ155" s="14"/>
      <c r="FR155" s="14"/>
      <c r="FS155" s="14"/>
      <c r="FT155" s="14"/>
      <c r="FU155" s="238"/>
      <c r="FV155" s="14"/>
      <c r="FW155" s="14"/>
      <c r="FX155" s="14"/>
      <c r="FY155" s="14"/>
      <c r="FZ155" s="14"/>
      <c r="GA155" s="120"/>
      <c r="GB155" s="122" t="str">
        <f t="shared" si="72"/>
        <v/>
      </c>
      <c r="GC155" s="140" t="str">
        <f t="shared" si="73"/>
        <v/>
      </c>
      <c r="GD155" s="122">
        <f t="shared" si="74"/>
        <v>0</v>
      </c>
      <c r="GE155" s="122">
        <f t="shared" si="75"/>
        <v>0</v>
      </c>
      <c r="GF155" s="122">
        <f t="shared" si="76"/>
        <v>0</v>
      </c>
      <c r="GG155" s="122">
        <f t="shared" si="77"/>
        <v>0</v>
      </c>
      <c r="GH155" s="122">
        <f t="shared" si="78"/>
        <v>0</v>
      </c>
      <c r="GI155" s="122">
        <f t="shared" si="79"/>
        <v>0</v>
      </c>
      <c r="GJ155" s="122">
        <f t="shared" si="80"/>
        <v>0</v>
      </c>
      <c r="GK155" s="122">
        <f t="shared" si="81"/>
        <v>0</v>
      </c>
      <c r="GL155" s="122">
        <f t="shared" si="82"/>
        <v>0</v>
      </c>
      <c r="GM155" s="122">
        <f t="shared" si="83"/>
        <v>0</v>
      </c>
      <c r="GN155" s="122">
        <f t="shared" si="84"/>
        <v>0</v>
      </c>
      <c r="GO155" s="122">
        <f t="shared" si="85"/>
        <v>0</v>
      </c>
      <c r="GP155" s="122">
        <f t="shared" si="86"/>
        <v>0</v>
      </c>
      <c r="GQ155" s="122">
        <f t="shared" si="87"/>
        <v>0</v>
      </c>
      <c r="GR155" s="122">
        <f t="shared" si="88"/>
        <v>0</v>
      </c>
      <c r="GS155" s="123">
        <f t="shared" si="89"/>
        <v>0</v>
      </c>
      <c r="GT155"/>
      <c r="GU155"/>
      <c r="GV155"/>
      <c r="GW155" s="124"/>
      <c r="GX155" s="118"/>
      <c r="GY155" s="118"/>
      <c r="GZ155" s="118"/>
      <c r="HA155" s="118"/>
      <c r="HB155" s="118"/>
      <c r="HC155" s="118"/>
      <c r="HD155" s="118"/>
      <c r="HE155" s="118"/>
      <c r="HF155" s="118"/>
      <c r="HG155" s="118"/>
      <c r="HH155" s="118"/>
      <c r="HI155" s="118"/>
      <c r="HJ155" s="118"/>
      <c r="HK155" s="118"/>
      <c r="HL155" s="118"/>
    </row>
    <row r="156" spans="1:220" s="74" customFormat="1" ht="30" hidden="1" customHeight="1" x14ac:dyDescent="0.35">
      <c r="A156" s="119">
        <v>147</v>
      </c>
      <c r="B156" s="3"/>
      <c r="C156" s="6"/>
      <c r="D156" s="3"/>
      <c r="E156" s="246"/>
      <c r="F156" s="8"/>
      <c r="G156" s="8"/>
      <c r="H156" s="8"/>
      <c r="I156" s="8"/>
      <c r="J156" s="8"/>
      <c r="K156" s="8"/>
      <c r="L156" s="8"/>
      <c r="M156" s="8"/>
      <c r="N156" s="8"/>
      <c r="O156" s="9"/>
      <c r="P156" s="238"/>
      <c r="Q156" s="12"/>
      <c r="R156" s="8"/>
      <c r="S156" s="8"/>
      <c r="T156" s="8"/>
      <c r="U156" s="8"/>
      <c r="V156" s="8"/>
      <c r="W156" s="8"/>
      <c r="X156" s="8"/>
      <c r="Y156" s="8"/>
      <c r="Z156" s="13"/>
      <c r="AA156" s="238"/>
      <c r="AB156" s="12"/>
      <c r="AC156" s="8"/>
      <c r="AD156" s="8"/>
      <c r="AE156" s="8"/>
      <c r="AF156" s="8"/>
      <c r="AG156" s="8"/>
      <c r="AH156" s="8"/>
      <c r="AI156" s="8"/>
      <c r="AJ156" s="8"/>
      <c r="AK156" s="13"/>
      <c r="AL156" s="238"/>
      <c r="AM156" s="12"/>
      <c r="AN156" s="8"/>
      <c r="AO156" s="8"/>
      <c r="AP156" s="8"/>
      <c r="AQ156" s="8"/>
      <c r="AR156" s="8"/>
      <c r="AS156" s="8"/>
      <c r="AT156" s="8"/>
      <c r="AU156" s="8"/>
      <c r="AV156" s="13"/>
      <c r="AW156" s="238"/>
      <c r="AX156" s="12"/>
      <c r="AY156" s="8"/>
      <c r="AZ156" s="8"/>
      <c r="BA156" s="8"/>
      <c r="BB156" s="8"/>
      <c r="BC156" s="8"/>
      <c r="BD156" s="8"/>
      <c r="BE156" s="8"/>
      <c r="BF156" s="8"/>
      <c r="BG156" s="13"/>
      <c r="BH156" s="238"/>
      <c r="BI156" s="12"/>
      <c r="BJ156" s="8"/>
      <c r="BK156" s="8"/>
      <c r="BL156" s="8"/>
      <c r="BM156" s="8"/>
      <c r="BN156" s="8"/>
      <c r="BO156" s="8"/>
      <c r="BP156" s="8"/>
      <c r="BQ156" s="8"/>
      <c r="BR156" s="13"/>
      <c r="BS156" s="238"/>
      <c r="BT156" s="12"/>
      <c r="BU156" s="8"/>
      <c r="BV156" s="8"/>
      <c r="BW156" s="8"/>
      <c r="BX156" s="8"/>
      <c r="BY156" s="8"/>
      <c r="BZ156" s="8"/>
      <c r="CA156" s="8"/>
      <c r="CB156" s="12"/>
      <c r="CC156" s="8"/>
      <c r="CD156" s="8"/>
      <c r="CE156" s="8"/>
      <c r="CF156" s="8"/>
      <c r="CG156" s="8"/>
      <c r="CH156" s="8"/>
      <c r="CI156" s="238"/>
      <c r="CJ156" s="12"/>
      <c r="CK156" s="8"/>
      <c r="CL156" s="8"/>
      <c r="CM156" s="8"/>
      <c r="CN156" s="8"/>
      <c r="CO156" s="8"/>
      <c r="CP156" s="8"/>
      <c r="CQ156" s="8"/>
      <c r="CR156" s="12"/>
      <c r="CS156" s="8"/>
      <c r="CT156" s="8"/>
      <c r="CU156" s="8"/>
      <c r="CV156" s="8"/>
      <c r="CW156" s="8"/>
      <c r="CX156" s="8"/>
      <c r="CY156" s="238"/>
      <c r="CZ156" s="12"/>
      <c r="DA156" s="8"/>
      <c r="DB156" s="8"/>
      <c r="DC156" s="8"/>
      <c r="DD156" s="8"/>
      <c r="DE156" s="8"/>
      <c r="DF156" s="8"/>
      <c r="DG156" s="8"/>
      <c r="DH156" s="12"/>
      <c r="DI156" s="8"/>
      <c r="DJ156" s="8"/>
      <c r="DK156" s="8"/>
      <c r="DL156" s="8"/>
      <c r="DM156" s="8"/>
      <c r="DN156" s="8"/>
      <c r="DO156" s="238"/>
      <c r="DP156" s="12"/>
      <c r="DQ156" s="8"/>
      <c r="DR156" s="8"/>
      <c r="DS156" s="8"/>
      <c r="DT156" s="8"/>
      <c r="DU156" s="8"/>
      <c r="DV156" s="8"/>
      <c r="DW156" s="8"/>
      <c r="DX156" s="12"/>
      <c r="DY156" s="8"/>
      <c r="DZ156" s="8"/>
      <c r="EA156" s="8"/>
      <c r="EB156" s="8"/>
      <c r="EC156" s="8"/>
      <c r="ED156" s="8"/>
      <c r="EE156" s="238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238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238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238"/>
      <c r="FP156" s="12"/>
      <c r="FQ156" s="12"/>
      <c r="FR156" s="12"/>
      <c r="FS156" s="12"/>
      <c r="FT156" s="12"/>
      <c r="FU156" s="238"/>
      <c r="FV156" s="12"/>
      <c r="FW156" s="12"/>
      <c r="FX156" s="12"/>
      <c r="FY156" s="12"/>
      <c r="FZ156" s="12"/>
      <c r="GA156" s="120"/>
      <c r="GB156" s="118" t="str">
        <f t="shared" si="72"/>
        <v/>
      </c>
      <c r="GC156" s="139" t="str">
        <f t="shared" si="73"/>
        <v/>
      </c>
      <c r="GD156" s="118">
        <f t="shared" si="74"/>
        <v>0</v>
      </c>
      <c r="GE156" s="118">
        <f t="shared" si="75"/>
        <v>0</v>
      </c>
      <c r="GF156" s="118">
        <f t="shared" si="76"/>
        <v>0</v>
      </c>
      <c r="GG156" s="118">
        <f t="shared" si="77"/>
        <v>0</v>
      </c>
      <c r="GH156" s="118">
        <f t="shared" si="78"/>
        <v>0</v>
      </c>
      <c r="GI156" s="118">
        <f t="shared" si="79"/>
        <v>0</v>
      </c>
      <c r="GJ156" s="118">
        <f t="shared" si="80"/>
        <v>0</v>
      </c>
      <c r="GK156" s="118">
        <f t="shared" si="81"/>
        <v>0</v>
      </c>
      <c r="GL156" s="118">
        <f t="shared" si="82"/>
        <v>0</v>
      </c>
      <c r="GM156" s="118">
        <f t="shared" si="83"/>
        <v>0</v>
      </c>
      <c r="GN156" s="118">
        <f t="shared" si="84"/>
        <v>0</v>
      </c>
      <c r="GO156" s="118">
        <f t="shared" si="85"/>
        <v>0</v>
      </c>
      <c r="GP156" s="118">
        <f t="shared" si="86"/>
        <v>0</v>
      </c>
      <c r="GQ156" s="118">
        <f t="shared" si="87"/>
        <v>0</v>
      </c>
      <c r="GR156" s="118">
        <f t="shared" si="88"/>
        <v>0</v>
      </c>
      <c r="GS156" s="121">
        <f t="shared" si="89"/>
        <v>0</v>
      </c>
      <c r="GT156"/>
      <c r="GU156"/>
      <c r="GV156"/>
      <c r="GW156" s="124"/>
      <c r="GX156" s="118"/>
      <c r="GY156" s="118"/>
      <c r="GZ156" s="118"/>
      <c r="HA156" s="118"/>
      <c r="HB156" s="118"/>
      <c r="HC156" s="118"/>
      <c r="HD156" s="118"/>
      <c r="HE156" s="118"/>
      <c r="HF156" s="118"/>
      <c r="HG156" s="118"/>
      <c r="HH156" s="118"/>
      <c r="HI156" s="118"/>
      <c r="HJ156" s="118"/>
      <c r="HK156" s="118"/>
      <c r="HL156" s="118"/>
    </row>
    <row r="157" spans="1:220" s="74" customFormat="1" ht="30" hidden="1" customHeight="1" x14ac:dyDescent="0.35">
      <c r="A157" s="119">
        <v>148</v>
      </c>
      <c r="B157" s="4"/>
      <c r="C157" s="7"/>
      <c r="D157" s="4"/>
      <c r="E157" s="246"/>
      <c r="F157" s="10"/>
      <c r="G157" s="10"/>
      <c r="H157" s="10"/>
      <c r="I157" s="10"/>
      <c r="J157" s="10"/>
      <c r="K157" s="10"/>
      <c r="L157" s="10"/>
      <c r="M157" s="10"/>
      <c r="N157" s="10"/>
      <c r="O157" s="11"/>
      <c r="P157" s="238"/>
      <c r="Q157" s="14"/>
      <c r="R157" s="10"/>
      <c r="S157" s="10"/>
      <c r="T157" s="10"/>
      <c r="U157" s="10"/>
      <c r="V157" s="10"/>
      <c r="W157" s="10"/>
      <c r="X157" s="10"/>
      <c r="Y157" s="10"/>
      <c r="Z157" s="15"/>
      <c r="AA157" s="238"/>
      <c r="AB157" s="14"/>
      <c r="AC157" s="10"/>
      <c r="AD157" s="10"/>
      <c r="AE157" s="10"/>
      <c r="AF157" s="10"/>
      <c r="AG157" s="10"/>
      <c r="AH157" s="10"/>
      <c r="AI157" s="10"/>
      <c r="AJ157" s="10"/>
      <c r="AK157" s="15"/>
      <c r="AL157" s="238"/>
      <c r="AM157" s="14"/>
      <c r="AN157" s="10"/>
      <c r="AO157" s="10"/>
      <c r="AP157" s="10"/>
      <c r="AQ157" s="10"/>
      <c r="AR157" s="10"/>
      <c r="AS157" s="10"/>
      <c r="AT157" s="10"/>
      <c r="AU157" s="10"/>
      <c r="AV157" s="15"/>
      <c r="AW157" s="238"/>
      <c r="AX157" s="14"/>
      <c r="AY157" s="10"/>
      <c r="AZ157" s="10"/>
      <c r="BA157" s="10"/>
      <c r="BB157" s="10"/>
      <c r="BC157" s="10"/>
      <c r="BD157" s="10"/>
      <c r="BE157" s="10"/>
      <c r="BF157" s="10"/>
      <c r="BG157" s="15"/>
      <c r="BH157" s="238"/>
      <c r="BI157" s="14"/>
      <c r="BJ157" s="10"/>
      <c r="BK157" s="10"/>
      <c r="BL157" s="10"/>
      <c r="BM157" s="10"/>
      <c r="BN157" s="10"/>
      <c r="BO157" s="10"/>
      <c r="BP157" s="10"/>
      <c r="BQ157" s="10"/>
      <c r="BR157" s="15"/>
      <c r="BS157" s="238"/>
      <c r="BT157" s="14"/>
      <c r="BU157" s="10"/>
      <c r="BV157" s="10"/>
      <c r="BW157" s="10"/>
      <c r="BX157" s="10"/>
      <c r="BY157" s="10"/>
      <c r="BZ157" s="10"/>
      <c r="CA157" s="10"/>
      <c r="CB157" s="14"/>
      <c r="CC157" s="10"/>
      <c r="CD157" s="10"/>
      <c r="CE157" s="10"/>
      <c r="CF157" s="10"/>
      <c r="CG157" s="10"/>
      <c r="CH157" s="10"/>
      <c r="CI157" s="238"/>
      <c r="CJ157" s="14"/>
      <c r="CK157" s="10"/>
      <c r="CL157" s="10"/>
      <c r="CM157" s="10"/>
      <c r="CN157" s="10"/>
      <c r="CO157" s="10"/>
      <c r="CP157" s="10"/>
      <c r="CQ157" s="10"/>
      <c r="CR157" s="14"/>
      <c r="CS157" s="10"/>
      <c r="CT157" s="10"/>
      <c r="CU157" s="10"/>
      <c r="CV157" s="10"/>
      <c r="CW157" s="10"/>
      <c r="CX157" s="10"/>
      <c r="CY157" s="238"/>
      <c r="CZ157" s="14"/>
      <c r="DA157" s="10"/>
      <c r="DB157" s="10"/>
      <c r="DC157" s="10"/>
      <c r="DD157" s="10"/>
      <c r="DE157" s="10"/>
      <c r="DF157" s="10"/>
      <c r="DG157" s="10"/>
      <c r="DH157" s="14"/>
      <c r="DI157" s="10"/>
      <c r="DJ157" s="10"/>
      <c r="DK157" s="10"/>
      <c r="DL157" s="10"/>
      <c r="DM157" s="10"/>
      <c r="DN157" s="10"/>
      <c r="DO157" s="238"/>
      <c r="DP157" s="14"/>
      <c r="DQ157" s="10"/>
      <c r="DR157" s="10"/>
      <c r="DS157" s="10"/>
      <c r="DT157" s="10"/>
      <c r="DU157" s="10"/>
      <c r="DV157" s="10"/>
      <c r="DW157" s="10"/>
      <c r="DX157" s="14"/>
      <c r="DY157" s="10"/>
      <c r="DZ157" s="10"/>
      <c r="EA157" s="10"/>
      <c r="EB157" s="10"/>
      <c r="EC157" s="10"/>
      <c r="ED157" s="10"/>
      <c r="EE157" s="238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238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238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238"/>
      <c r="FP157" s="14"/>
      <c r="FQ157" s="14"/>
      <c r="FR157" s="14"/>
      <c r="FS157" s="14"/>
      <c r="FT157" s="14"/>
      <c r="FU157" s="238"/>
      <c r="FV157" s="14"/>
      <c r="FW157" s="14"/>
      <c r="FX157" s="14"/>
      <c r="FY157" s="14"/>
      <c r="FZ157" s="14"/>
      <c r="GA157" s="120"/>
      <c r="GB157" s="122" t="str">
        <f t="shared" si="72"/>
        <v/>
      </c>
      <c r="GC157" s="140" t="str">
        <f t="shared" si="73"/>
        <v/>
      </c>
      <c r="GD157" s="122">
        <f t="shared" si="74"/>
        <v>0</v>
      </c>
      <c r="GE157" s="122">
        <f t="shared" si="75"/>
        <v>0</v>
      </c>
      <c r="GF157" s="122">
        <f t="shared" si="76"/>
        <v>0</v>
      </c>
      <c r="GG157" s="122">
        <f t="shared" si="77"/>
        <v>0</v>
      </c>
      <c r="GH157" s="122">
        <f t="shared" si="78"/>
        <v>0</v>
      </c>
      <c r="GI157" s="122">
        <f t="shared" si="79"/>
        <v>0</v>
      </c>
      <c r="GJ157" s="122">
        <f t="shared" si="80"/>
        <v>0</v>
      </c>
      <c r="GK157" s="122">
        <f t="shared" si="81"/>
        <v>0</v>
      </c>
      <c r="GL157" s="122">
        <f t="shared" si="82"/>
        <v>0</v>
      </c>
      <c r="GM157" s="122">
        <f t="shared" si="83"/>
        <v>0</v>
      </c>
      <c r="GN157" s="122">
        <f t="shared" si="84"/>
        <v>0</v>
      </c>
      <c r="GO157" s="122">
        <f t="shared" si="85"/>
        <v>0</v>
      </c>
      <c r="GP157" s="122">
        <f t="shared" si="86"/>
        <v>0</v>
      </c>
      <c r="GQ157" s="122">
        <f t="shared" si="87"/>
        <v>0</v>
      </c>
      <c r="GR157" s="122">
        <f t="shared" si="88"/>
        <v>0</v>
      </c>
      <c r="GS157" s="123">
        <f t="shared" si="89"/>
        <v>0</v>
      </c>
      <c r="GT157"/>
      <c r="GU157"/>
      <c r="GV157"/>
      <c r="GW157" s="124"/>
      <c r="GX157" s="118"/>
      <c r="GY157" s="118"/>
      <c r="GZ157" s="118"/>
      <c r="HA157" s="118"/>
      <c r="HB157" s="118"/>
      <c r="HC157" s="118"/>
      <c r="HD157" s="118"/>
      <c r="HE157" s="118"/>
      <c r="HF157" s="118"/>
      <c r="HG157" s="118"/>
      <c r="HH157" s="118"/>
      <c r="HI157" s="118"/>
      <c r="HJ157" s="118"/>
      <c r="HK157" s="118"/>
      <c r="HL157" s="118"/>
    </row>
    <row r="158" spans="1:220" s="74" customFormat="1" ht="30" hidden="1" customHeight="1" x14ac:dyDescent="0.35">
      <c r="A158" s="119">
        <v>149</v>
      </c>
      <c r="B158" s="3"/>
      <c r="C158" s="6"/>
      <c r="D158" s="3"/>
      <c r="E158" s="246"/>
      <c r="F158" s="8"/>
      <c r="G158" s="8"/>
      <c r="H158" s="8"/>
      <c r="I158" s="8"/>
      <c r="J158" s="8"/>
      <c r="K158" s="8"/>
      <c r="L158" s="8"/>
      <c r="M158" s="8"/>
      <c r="N158" s="8"/>
      <c r="O158" s="9"/>
      <c r="P158" s="238"/>
      <c r="Q158" s="12"/>
      <c r="R158" s="8"/>
      <c r="S158" s="8"/>
      <c r="T158" s="8"/>
      <c r="U158" s="8"/>
      <c r="V158" s="8"/>
      <c r="W158" s="8"/>
      <c r="X158" s="8"/>
      <c r="Y158" s="8"/>
      <c r="Z158" s="13"/>
      <c r="AA158" s="238"/>
      <c r="AB158" s="12"/>
      <c r="AC158" s="8"/>
      <c r="AD158" s="8"/>
      <c r="AE158" s="8"/>
      <c r="AF158" s="8"/>
      <c r="AG158" s="8"/>
      <c r="AH158" s="8"/>
      <c r="AI158" s="8"/>
      <c r="AJ158" s="8"/>
      <c r="AK158" s="13"/>
      <c r="AL158" s="238"/>
      <c r="AM158" s="12"/>
      <c r="AN158" s="8"/>
      <c r="AO158" s="8"/>
      <c r="AP158" s="8"/>
      <c r="AQ158" s="8"/>
      <c r="AR158" s="8"/>
      <c r="AS158" s="8"/>
      <c r="AT158" s="8"/>
      <c r="AU158" s="8"/>
      <c r="AV158" s="13"/>
      <c r="AW158" s="238"/>
      <c r="AX158" s="12"/>
      <c r="AY158" s="8"/>
      <c r="AZ158" s="8"/>
      <c r="BA158" s="8"/>
      <c r="BB158" s="8"/>
      <c r="BC158" s="8"/>
      <c r="BD158" s="8"/>
      <c r="BE158" s="8"/>
      <c r="BF158" s="8"/>
      <c r="BG158" s="13"/>
      <c r="BH158" s="238"/>
      <c r="BI158" s="12"/>
      <c r="BJ158" s="8"/>
      <c r="BK158" s="8"/>
      <c r="BL158" s="8"/>
      <c r="BM158" s="8"/>
      <c r="BN158" s="8"/>
      <c r="BO158" s="8"/>
      <c r="BP158" s="8"/>
      <c r="BQ158" s="8"/>
      <c r="BR158" s="13"/>
      <c r="BS158" s="238"/>
      <c r="BT158" s="12"/>
      <c r="BU158" s="8"/>
      <c r="BV158" s="8"/>
      <c r="BW158" s="8"/>
      <c r="BX158" s="8"/>
      <c r="BY158" s="8"/>
      <c r="BZ158" s="8"/>
      <c r="CA158" s="8"/>
      <c r="CB158" s="12"/>
      <c r="CC158" s="8"/>
      <c r="CD158" s="8"/>
      <c r="CE158" s="8"/>
      <c r="CF158" s="8"/>
      <c r="CG158" s="8"/>
      <c r="CH158" s="8"/>
      <c r="CI158" s="238"/>
      <c r="CJ158" s="12"/>
      <c r="CK158" s="8"/>
      <c r="CL158" s="8"/>
      <c r="CM158" s="8"/>
      <c r="CN158" s="8"/>
      <c r="CO158" s="8"/>
      <c r="CP158" s="8"/>
      <c r="CQ158" s="8"/>
      <c r="CR158" s="12"/>
      <c r="CS158" s="8"/>
      <c r="CT158" s="8"/>
      <c r="CU158" s="8"/>
      <c r="CV158" s="8"/>
      <c r="CW158" s="8"/>
      <c r="CX158" s="8"/>
      <c r="CY158" s="238"/>
      <c r="CZ158" s="12"/>
      <c r="DA158" s="8"/>
      <c r="DB158" s="8"/>
      <c r="DC158" s="8"/>
      <c r="DD158" s="8"/>
      <c r="DE158" s="8"/>
      <c r="DF158" s="8"/>
      <c r="DG158" s="8"/>
      <c r="DH158" s="12"/>
      <c r="DI158" s="8"/>
      <c r="DJ158" s="8"/>
      <c r="DK158" s="8"/>
      <c r="DL158" s="8"/>
      <c r="DM158" s="8"/>
      <c r="DN158" s="8"/>
      <c r="DO158" s="238"/>
      <c r="DP158" s="12"/>
      <c r="DQ158" s="8"/>
      <c r="DR158" s="8"/>
      <c r="DS158" s="8"/>
      <c r="DT158" s="8"/>
      <c r="DU158" s="8"/>
      <c r="DV158" s="8"/>
      <c r="DW158" s="8"/>
      <c r="DX158" s="12"/>
      <c r="DY158" s="8"/>
      <c r="DZ158" s="8"/>
      <c r="EA158" s="8"/>
      <c r="EB158" s="8"/>
      <c r="EC158" s="8"/>
      <c r="ED158" s="8"/>
      <c r="EE158" s="238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238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238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238"/>
      <c r="FP158" s="12"/>
      <c r="FQ158" s="12"/>
      <c r="FR158" s="12"/>
      <c r="FS158" s="12"/>
      <c r="FT158" s="12"/>
      <c r="FU158" s="238"/>
      <c r="FV158" s="12"/>
      <c r="FW158" s="12"/>
      <c r="FX158" s="12"/>
      <c r="FY158" s="12"/>
      <c r="FZ158" s="12"/>
      <c r="GA158" s="120"/>
      <c r="GB158" s="118" t="str">
        <f t="shared" si="72"/>
        <v/>
      </c>
      <c r="GC158" s="139" t="str">
        <f t="shared" si="73"/>
        <v/>
      </c>
      <c r="GD158" s="118">
        <f t="shared" si="74"/>
        <v>0</v>
      </c>
      <c r="GE158" s="118">
        <f t="shared" si="75"/>
        <v>0</v>
      </c>
      <c r="GF158" s="118">
        <f t="shared" si="76"/>
        <v>0</v>
      </c>
      <c r="GG158" s="118">
        <f t="shared" si="77"/>
        <v>0</v>
      </c>
      <c r="GH158" s="118">
        <f t="shared" si="78"/>
        <v>0</v>
      </c>
      <c r="GI158" s="118">
        <f t="shared" si="79"/>
        <v>0</v>
      </c>
      <c r="GJ158" s="118">
        <f t="shared" si="80"/>
        <v>0</v>
      </c>
      <c r="GK158" s="118">
        <f t="shared" si="81"/>
        <v>0</v>
      </c>
      <c r="GL158" s="118">
        <f t="shared" si="82"/>
        <v>0</v>
      </c>
      <c r="GM158" s="118">
        <f t="shared" si="83"/>
        <v>0</v>
      </c>
      <c r="GN158" s="118">
        <f t="shared" si="84"/>
        <v>0</v>
      </c>
      <c r="GO158" s="118">
        <f t="shared" si="85"/>
        <v>0</v>
      </c>
      <c r="GP158" s="118">
        <f t="shared" si="86"/>
        <v>0</v>
      </c>
      <c r="GQ158" s="118">
        <f t="shared" si="87"/>
        <v>0</v>
      </c>
      <c r="GR158" s="118">
        <f t="shared" si="88"/>
        <v>0</v>
      </c>
      <c r="GS158" s="121">
        <f t="shared" si="89"/>
        <v>0</v>
      </c>
      <c r="GT158"/>
      <c r="GU158"/>
      <c r="GV158"/>
      <c r="GW158" s="124"/>
      <c r="GX158" s="118"/>
      <c r="GY158" s="118"/>
      <c r="GZ158" s="118"/>
      <c r="HA158" s="118"/>
      <c r="HB158" s="118"/>
      <c r="HC158" s="118"/>
      <c r="HD158" s="118"/>
      <c r="HE158" s="118"/>
      <c r="HF158" s="118"/>
      <c r="HG158" s="118"/>
      <c r="HH158" s="118"/>
      <c r="HI158" s="118"/>
      <c r="HJ158" s="118"/>
      <c r="HK158" s="118"/>
      <c r="HL158" s="118"/>
    </row>
    <row r="159" spans="1:220" s="74" customFormat="1" ht="30" hidden="1" customHeight="1" x14ac:dyDescent="0.35">
      <c r="A159" s="119">
        <v>150</v>
      </c>
      <c r="B159" s="4"/>
      <c r="C159" s="7"/>
      <c r="D159" s="4"/>
      <c r="E159" s="248"/>
      <c r="F159" s="10"/>
      <c r="G159" s="10"/>
      <c r="H159" s="10"/>
      <c r="I159" s="10"/>
      <c r="J159" s="10"/>
      <c r="K159" s="10"/>
      <c r="L159" s="10"/>
      <c r="M159" s="10"/>
      <c r="N159" s="10"/>
      <c r="O159" s="11"/>
      <c r="P159" s="238"/>
      <c r="Q159" s="14"/>
      <c r="R159" s="10"/>
      <c r="S159" s="10"/>
      <c r="T159" s="10"/>
      <c r="U159" s="10"/>
      <c r="V159" s="10"/>
      <c r="W159" s="10"/>
      <c r="X159" s="10"/>
      <c r="Y159" s="10"/>
      <c r="Z159" s="15"/>
      <c r="AA159" s="238"/>
      <c r="AB159" s="14"/>
      <c r="AC159" s="10"/>
      <c r="AD159" s="10"/>
      <c r="AE159" s="10"/>
      <c r="AF159" s="10"/>
      <c r="AG159" s="10"/>
      <c r="AH159" s="10"/>
      <c r="AI159" s="10"/>
      <c r="AJ159" s="10"/>
      <c r="AK159" s="15"/>
      <c r="AL159" s="238"/>
      <c r="AM159" s="14"/>
      <c r="AN159" s="10"/>
      <c r="AO159" s="10"/>
      <c r="AP159" s="10"/>
      <c r="AQ159" s="10"/>
      <c r="AR159" s="10"/>
      <c r="AS159" s="10"/>
      <c r="AT159" s="10"/>
      <c r="AU159" s="10"/>
      <c r="AV159" s="15"/>
      <c r="AW159" s="238"/>
      <c r="AX159" s="14"/>
      <c r="AY159" s="10"/>
      <c r="AZ159" s="10"/>
      <c r="BA159" s="10"/>
      <c r="BB159" s="10"/>
      <c r="BC159" s="10"/>
      <c r="BD159" s="10"/>
      <c r="BE159" s="10"/>
      <c r="BF159" s="10"/>
      <c r="BG159" s="15"/>
      <c r="BH159" s="238"/>
      <c r="BI159" s="14"/>
      <c r="BJ159" s="10"/>
      <c r="BK159" s="10"/>
      <c r="BL159" s="10"/>
      <c r="BM159" s="10"/>
      <c r="BN159" s="10"/>
      <c r="BO159" s="10"/>
      <c r="BP159" s="10"/>
      <c r="BQ159" s="10"/>
      <c r="BR159" s="15"/>
      <c r="BS159" s="238"/>
      <c r="BT159" s="14"/>
      <c r="BU159" s="10"/>
      <c r="BV159" s="10"/>
      <c r="BW159" s="10"/>
      <c r="BX159" s="10"/>
      <c r="BY159" s="10"/>
      <c r="BZ159" s="10"/>
      <c r="CA159" s="10"/>
      <c r="CB159" s="14"/>
      <c r="CC159" s="10"/>
      <c r="CD159" s="10"/>
      <c r="CE159" s="10"/>
      <c r="CF159" s="10"/>
      <c r="CG159" s="10"/>
      <c r="CH159" s="10"/>
      <c r="CI159" s="238"/>
      <c r="CJ159" s="14"/>
      <c r="CK159" s="10"/>
      <c r="CL159" s="10"/>
      <c r="CM159" s="10"/>
      <c r="CN159" s="10"/>
      <c r="CO159" s="10"/>
      <c r="CP159" s="10"/>
      <c r="CQ159" s="10"/>
      <c r="CR159" s="14"/>
      <c r="CS159" s="10"/>
      <c r="CT159" s="10"/>
      <c r="CU159" s="10"/>
      <c r="CV159" s="10"/>
      <c r="CW159" s="10"/>
      <c r="CX159" s="10"/>
      <c r="CY159" s="238"/>
      <c r="CZ159" s="14"/>
      <c r="DA159" s="10"/>
      <c r="DB159" s="10"/>
      <c r="DC159" s="10"/>
      <c r="DD159" s="10"/>
      <c r="DE159" s="10"/>
      <c r="DF159" s="10"/>
      <c r="DG159" s="10"/>
      <c r="DH159" s="14"/>
      <c r="DI159" s="10"/>
      <c r="DJ159" s="10"/>
      <c r="DK159" s="10"/>
      <c r="DL159" s="10"/>
      <c r="DM159" s="10"/>
      <c r="DN159" s="10"/>
      <c r="DO159" s="238"/>
      <c r="DP159" s="14"/>
      <c r="DQ159" s="10"/>
      <c r="DR159" s="10"/>
      <c r="DS159" s="10"/>
      <c r="DT159" s="10"/>
      <c r="DU159" s="10"/>
      <c r="DV159" s="10"/>
      <c r="DW159" s="10"/>
      <c r="DX159" s="14"/>
      <c r="DY159" s="10"/>
      <c r="DZ159" s="10"/>
      <c r="EA159" s="10"/>
      <c r="EB159" s="10"/>
      <c r="EC159" s="10"/>
      <c r="ED159" s="10"/>
      <c r="EE159" s="238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238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238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238"/>
      <c r="FP159" s="14"/>
      <c r="FQ159" s="14"/>
      <c r="FR159" s="14"/>
      <c r="FS159" s="14"/>
      <c r="FT159" s="14"/>
      <c r="FU159" s="238"/>
      <c r="FV159" s="14"/>
      <c r="FW159" s="14"/>
      <c r="FX159" s="14"/>
      <c r="FY159" s="14"/>
      <c r="FZ159" s="14"/>
      <c r="GA159" s="120"/>
      <c r="GB159" s="122" t="str">
        <f t="shared" si="72"/>
        <v/>
      </c>
      <c r="GC159" s="140" t="str">
        <f t="shared" si="73"/>
        <v/>
      </c>
      <c r="GD159" s="122">
        <f t="shared" si="74"/>
        <v>0</v>
      </c>
      <c r="GE159" s="122">
        <f t="shared" si="75"/>
        <v>0</v>
      </c>
      <c r="GF159" s="122">
        <f t="shared" si="76"/>
        <v>0</v>
      </c>
      <c r="GG159" s="122">
        <f t="shared" si="77"/>
        <v>0</v>
      </c>
      <c r="GH159" s="122">
        <f t="shared" si="78"/>
        <v>0</v>
      </c>
      <c r="GI159" s="122">
        <f t="shared" si="79"/>
        <v>0</v>
      </c>
      <c r="GJ159" s="122">
        <f t="shared" si="80"/>
        <v>0</v>
      </c>
      <c r="GK159" s="122">
        <f t="shared" si="81"/>
        <v>0</v>
      </c>
      <c r="GL159" s="122">
        <f t="shared" si="82"/>
        <v>0</v>
      </c>
      <c r="GM159" s="122">
        <f t="shared" si="83"/>
        <v>0</v>
      </c>
      <c r="GN159" s="122">
        <f t="shared" si="84"/>
        <v>0</v>
      </c>
      <c r="GO159" s="122">
        <f t="shared" si="85"/>
        <v>0</v>
      </c>
      <c r="GP159" s="122">
        <f t="shared" si="86"/>
        <v>0</v>
      </c>
      <c r="GQ159" s="122">
        <f t="shared" si="87"/>
        <v>0</v>
      </c>
      <c r="GR159" s="122">
        <f t="shared" si="88"/>
        <v>0</v>
      </c>
      <c r="GS159" s="123">
        <f t="shared" si="89"/>
        <v>0</v>
      </c>
      <c r="GT159"/>
      <c r="GU159"/>
      <c r="GV159"/>
      <c r="GW159" s="124"/>
      <c r="GX159" s="112" t="str">
        <f>K_1</f>
        <v>K1</v>
      </c>
      <c r="GY159" s="112" t="str">
        <f>K_2</f>
        <v>K2</v>
      </c>
      <c r="GZ159" s="112" t="str">
        <f>K_3</f>
        <v>K3</v>
      </c>
      <c r="HA159" s="112" t="str">
        <f>K_4</f>
        <v>K4</v>
      </c>
      <c r="HB159" s="112" t="str">
        <f>S_1</f>
        <v>S1</v>
      </c>
      <c r="HC159" s="112" t="str">
        <f>S_2</f>
        <v>S2</v>
      </c>
      <c r="HD159" s="112" t="str">
        <f>S_3</f>
        <v>S3</v>
      </c>
      <c r="HE159" s="112" t="str">
        <f>S_4</f>
        <v>S4</v>
      </c>
      <c r="HF159" s="112" t="str">
        <f>S_5</f>
        <v>S5</v>
      </c>
      <c r="HG159" s="112" t="str">
        <f>S_6</f>
        <v>S6</v>
      </c>
      <c r="HH159" s="112" t="str">
        <f>S_7</f>
        <v>S7</v>
      </c>
      <c r="HI159" s="112" t="str">
        <f>V_1</f>
        <v>V1</v>
      </c>
      <c r="HJ159" s="112" t="str">
        <f>V_2</f>
        <v>V2</v>
      </c>
      <c r="HK159" s="112" t="str">
        <f>V_3</f>
        <v>V3</v>
      </c>
      <c r="HL159" s="112" t="str">
        <f>V_4</f>
        <v>V4</v>
      </c>
    </row>
    <row r="160" spans="1:220" ht="15.6" hidden="1" x14ac:dyDescent="0.3">
      <c r="GA160"/>
      <c r="GB160"/>
      <c r="GC160"/>
      <c r="GW160" s="111" t="s">
        <v>76</v>
      </c>
      <c r="GX160" s="126">
        <f>IFERROR(SUMPRODUCT((D10:D159="Regular")*(((F10:F159+Q10:Q159+AB10:AB159+AM10:AM159+AX10:AX159+BI10:BI159+BT10:BT159+CJ10:CJ159+CZ10:CZ159+DP10:DP159)/VK_1)*100&gt;=TSK_1*100))/Regular_Stud,0)</f>
        <v>0</v>
      </c>
      <c r="GY160" s="126">
        <f>IFERROR(SUMPRODUCT((D10:D159="Regular")*(((G10:G159+R10:R159+AC10:AC159+AN10:AN159+AY10:AY159+BJ10:BJ159+BU10:BU159+CK10:CK159+DA10:DA159+DQ10:DQ159)/VK_2)*100&gt;=TSK_2*100))/Regular_Stud,0)</f>
        <v>0</v>
      </c>
      <c r="GZ160" s="126">
        <f>IFERROR(SUMPRODUCT((D10:D159="Regular")*(((H10:H159+S10:S159+AD10:AD159+AO10:AO159+AZ10:AZ159+BK10:BK159+BV10:BV159+CL10:CL159+DB10:DB159+DR10:DR159)/VK_3)*100&gt;=TSK_3*100))/Regular_Stud,0)</f>
        <v>0</v>
      </c>
      <c r="HA160" s="126">
        <f>IFERROR(SUMPRODUCT((D10:D159="Regular")*(((I10:I159+T10:T159+AE10:AE159+AP10:AP159+BA10:BA159+BL10:BL159+BW10:BW159+CM10:CM159+DC10:DC159+DS10:DS159)/VK_4)*100&gt;=TSK_4*100))/Regular_Stud,0)</f>
        <v>0</v>
      </c>
      <c r="HB160" s="126">
        <f>IFERROR(SUMPRODUCT((D10:D159="Regular")*(((J10:J159+U10:U159+AF10:AF159+AQ10:AQ159+BB10:BB159+BM10:BM159+BX10:BX159+CN10:CN159+DD10:DD159+DT10:DT159+EF10:EF159+ER10:ER159+FD10:FD159)/VS_1)*100&gt;=TSS_1*100))/Regular_Stud,0)</f>
        <v>0</v>
      </c>
      <c r="HC160" s="126">
        <f>IFERROR(SUMPRODUCT((D10:D159="Regular")*(((K10:K159+V10:V159+AG10:AG159+AR10:AR159+BC10:BC159+BN10:BN159+BY10:BY159+CO10:CO159+DE10:DE159+DU10:DU159+EG10:EG159+ES10:ES159+FE10:FE159)/VS_2)*100&gt;=TSS_2*100))/Regular_Stud,0)</f>
        <v>0</v>
      </c>
      <c r="HD160" s="126">
        <f>IFERROR(SUMPRODUCT((D10:D159="Regular")*(((L10:L159+W10:W159+AH10:AH159+AS10:AS159+BD10:BD159+BO10:BO159+BZ10:BZ159+CP10:CP159+DF10:DF159+DV10:DV159+EH10:EH159+ET10:ET159+FF10:FF159)/VS_3)*100&gt;=TSS_3*100))/Regular_Stud,0)</f>
        <v>0</v>
      </c>
      <c r="HE160" s="126">
        <f>IFERROR(SUMPRODUCT((D10:D159="Regular")*(((M10:M159+X10:X159+AI10:AI159+AT10:AT159+BE10:BE159+BP10:BP159+CA10:CA159+CQ10:CQ159+DG10:DG159+DW10:DW159+EI10:EI159+EU10:EU159+FG10:FG159)/VS_4)*100&gt;=TSS_4*100))/Regular_Stud,0)</f>
        <v>0</v>
      </c>
      <c r="HF160" s="126">
        <f>IFERROR(SUMPRODUCT((D10:D159="Regular")*(((N10:N159+Y10:Y159+AJ10:AJ159+AU10:AU159+BF10:BF159+BQ10:BQ159+CB10:CB159+CR10:CR159+DH10:DH159+DX10:DX159+EJ10:EJ159+EV10:EV159+FH10:FH159)/VS_5)*100&gt;=TSS_5*100))/Regular_Stud,0)</f>
        <v>0</v>
      </c>
      <c r="HG160" s="126">
        <f>IFERROR(SUMPRODUCT((D10:D159="Regular")*(((O10:O159+Z10:Z159+AK10:AK159+AV10:AV159+BG10:BG159+BR10:BR159+CC10:CC159+CS10:CS159+DI10:DI159+DY10:DY159+EK10:EK159+EW10:EW159+FI10:FI159)/VS_6)*100&gt;=TSS_6*100))/Regular_Stud,0)</f>
        <v>0</v>
      </c>
      <c r="HH160" s="126">
        <f>IFERROR(SUMPRODUCT((D10:D159="Regular")*(((CD10:CD159+CT10:CT159+DJ10:DJ159+DZ10:DZ159+EL10:EL159+EX10:EX159+FJ10:FJ159+FP10:FP159+FV10:FV159)/VS_7)*100&gt;=TSS_7*100))/Regular_Stud,0)</f>
        <v>0</v>
      </c>
      <c r="HI160" s="126">
        <f>IFERROR(SUMPRODUCT((D10:D159="Regular")*(((CE10:CE159+CU10:CU159+DK10:DK159+EA10:EA159+EM10:EM159+EY10:EY159+FK10:FK159+FQ10:FQ159+FW10:FW159)/VV_1)*100&gt;=TSV_1*100))/Regular_Stud,0)</f>
        <v>0</v>
      </c>
      <c r="HJ160" s="126">
        <f>IFERROR(SUMPRODUCT((D10:D159="Regular")*(((CF10:CF159+CV10:CV159+DL10:DL159+EB10:EB159+EN10:EN159+EZ10:EZ159+FL10:FL159+FR10:FR159+FX10:FX159)/VV_2)*100&gt;=TSV_2*100))/Regular_Stud,0)</f>
        <v>0</v>
      </c>
      <c r="HK160" s="126">
        <f>IFERROR(SUMPRODUCT((D10:D159="Regular")*(((CG10:CG159+CW10:CW159+DM10:DM159+EC10:EC159+EO10:EO159+FA10:FA159+FM10:FM159+FS10:FS159+FY10:FY159)/VV_3)*100&gt;=TSV_3*100))/Regular_Stud,0)</f>
        <v>0</v>
      </c>
      <c r="HL160" s="126">
        <f>IFERROR(SUMPRODUCT((D10:D159="Regular")*(((CH10:CH159+CX10:CX159+DN10:DN159+ED10:ED159+EP10:EP159+FB10:FB159+FN10:FN159+FT10:FT159+FZ10:FZ159)/VV_4)*100&gt;=TSV_4*100))/Regular_Stud,0)</f>
        <v>0</v>
      </c>
    </row>
  </sheetData>
  <sheetProtection algorithmName="SHA-512" hashValue="75hLkJHaSD2PluSArZcEQCT9ZYAIyzBRzpiGONzV9V6j6AAnJCG1Sq3vQZ7tyfE1d6dkbFfwmenqWep+OHNvLw==" saltValue="1hvb1w/OpZBr47oTHJEEOQ==" spinCount="100000" sheet="1" objects="1" scenarios="1" selectLockedCells="1"/>
  <mergeCells count="77">
    <mergeCell ref="D8:D9"/>
    <mergeCell ref="A7:B7"/>
    <mergeCell ref="GQ8:GQ9"/>
    <mergeCell ref="GE8:GE9"/>
    <mergeCell ref="GF8:GF9"/>
    <mergeCell ref="GG8:GG9"/>
    <mergeCell ref="A8:A9"/>
    <mergeCell ref="B8:B9"/>
    <mergeCell ref="C8:C9"/>
    <mergeCell ref="FO1:FO7"/>
    <mergeCell ref="GN8:GN9"/>
    <mergeCell ref="GO8:GO9"/>
    <mergeCell ref="GP8:GP9"/>
    <mergeCell ref="GC6:GS7"/>
    <mergeCell ref="GH8:GH9"/>
    <mergeCell ref="GI8:GI9"/>
    <mergeCell ref="A6:B6"/>
    <mergeCell ref="AA1:AA7"/>
    <mergeCell ref="AL1:AL7"/>
    <mergeCell ref="E4:E7"/>
    <mergeCell ref="A1:B1"/>
    <mergeCell ref="A2:B2"/>
    <mergeCell ref="A3:B3"/>
    <mergeCell ref="A4:B4"/>
    <mergeCell ref="A5:B5"/>
    <mergeCell ref="D1:D3"/>
    <mergeCell ref="E10:E159"/>
    <mergeCell ref="P10:P159"/>
    <mergeCell ref="P1:P7"/>
    <mergeCell ref="AA10:AA159"/>
    <mergeCell ref="AB6:AK7"/>
    <mergeCell ref="F6:O7"/>
    <mergeCell ref="F1:O5"/>
    <mergeCell ref="Q6:Z7"/>
    <mergeCell ref="BS10:BS159"/>
    <mergeCell ref="CI10:CI159"/>
    <mergeCell ref="AL10:AL159"/>
    <mergeCell ref="AW10:AW159"/>
    <mergeCell ref="AX6:BG7"/>
    <mergeCell ref="BH10:BH159"/>
    <mergeCell ref="BI6:BR7"/>
    <mergeCell ref="BS1:BS7"/>
    <mergeCell ref="CI1:CI7"/>
    <mergeCell ref="AW1:AW7"/>
    <mergeCell ref="BH1:BH7"/>
    <mergeCell ref="AM6:AV7"/>
    <mergeCell ref="CY10:CY159"/>
    <mergeCell ref="CJ6:CX7"/>
    <mergeCell ref="BT6:CH7"/>
    <mergeCell ref="CZ6:DN7"/>
    <mergeCell ref="DP6:ED7"/>
    <mergeCell ref="DO10:DO159"/>
    <mergeCell ref="DO1:DO7"/>
    <mergeCell ref="CY1:CY7"/>
    <mergeCell ref="FO10:FO159"/>
    <mergeCell ref="FP6:FT7"/>
    <mergeCell ref="FV6:FZ7"/>
    <mergeCell ref="EE10:EE159"/>
    <mergeCell ref="EF6:EP7"/>
    <mergeCell ref="EQ10:EQ159"/>
    <mergeCell ref="ER6:FB7"/>
    <mergeCell ref="FD6:FN7"/>
    <mergeCell ref="FC10:FC159"/>
    <mergeCell ref="EE1:EE7"/>
    <mergeCell ref="EQ1:EQ7"/>
    <mergeCell ref="FC1:FC7"/>
    <mergeCell ref="FU1:FU7"/>
    <mergeCell ref="FU10:FU159"/>
    <mergeCell ref="GD8:GD9"/>
    <mergeCell ref="GB8:GB9"/>
    <mergeCell ref="GC8:GC9"/>
    <mergeCell ref="GR8:GR9"/>
    <mergeCell ref="GS8:GS9"/>
    <mergeCell ref="GJ8:GJ9"/>
    <mergeCell ref="GK8:GK9"/>
    <mergeCell ref="GL8:GL9"/>
    <mergeCell ref="GM8:GM9"/>
  </mergeCells>
  <conditionalFormatting sqref="A10:GS159">
    <cfRule type="expression" dxfId="1" priority="1">
      <formula>AND($D10&lt;&gt;"",$D10&lt;&gt;"Regular")</formula>
    </cfRule>
  </conditionalFormatting>
  <dataValidations count="1">
    <dataValidation type="list" allowBlank="1" showInputMessage="1" showErrorMessage="1" errorTitle="Invalid status" error="Please choose one of: Regular, Dropped, Prohibited, Incomplete" sqref="D10:D159" xr:uid="{89FE2A8C-0FD2-4106-842D-69440118A925}">
      <formula1>"Regular,Dropped,Prohibited,Incomplete"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2" r:id="rId3" name="Button 6">
              <controlPr defaultSize="0" print="0" autoFill="0" autoPict="0" macro="[0]!Clear_StudentsData">
                <anchor moveWithCells="1" sizeWithCells="1">
                  <from>
                    <xdr:col>3</xdr:col>
                    <xdr:colOff>137160</xdr:colOff>
                    <xdr:row>5</xdr:row>
                    <xdr:rowOff>411480</xdr:rowOff>
                  </from>
                  <to>
                    <xdr:col>3</xdr:col>
                    <xdr:colOff>1767840</xdr:colOff>
                    <xdr:row>6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4" name="Button 12">
              <controlPr defaultSize="0" print="0" autoFill="0" autoPict="0" macro="[0]!Set_StudentCount">
                <anchor moveWithCells="1" sizeWithCells="1">
                  <from>
                    <xdr:col>3</xdr:col>
                    <xdr:colOff>137160</xdr:colOff>
                    <xdr:row>3</xdr:row>
                    <xdr:rowOff>121920</xdr:rowOff>
                  </from>
                  <to>
                    <xdr:col>3</xdr:col>
                    <xdr:colOff>1767840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5" name="Button 18">
              <controlPr defaultSize="0" print="0" autoFill="0" autoPict="0" macro="[0]!ShowAll_Students">
                <anchor moveWithCells="1" sizeWithCells="1">
                  <from>
                    <xdr:col>3</xdr:col>
                    <xdr:colOff>137160</xdr:colOff>
                    <xdr:row>4</xdr:row>
                    <xdr:rowOff>297180</xdr:rowOff>
                  </from>
                  <to>
                    <xdr:col>3</xdr:col>
                    <xdr:colOff>1767840</xdr:colOff>
                    <xdr:row>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6" name="Button 19">
              <controlPr defaultSize="0" print="0" autoFill="0" autoPict="0" macro="[0]!Refresh_MarksActivities">
                <anchor moveWithCells="1" sizeWithCells="1">
                  <from>
                    <xdr:col>3</xdr:col>
                    <xdr:colOff>137160</xdr:colOff>
                    <xdr:row>0</xdr:row>
                    <xdr:rowOff>121920</xdr:rowOff>
                  </from>
                  <to>
                    <xdr:col>3</xdr:col>
                    <xdr:colOff>1767840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7" name="Button 20">
              <controlPr defaultSize="0" print="0" autoFill="0" autoPict="0" macro="[0]!ShowAll_MarksActivities">
                <anchor moveWithCells="1" sizeWithCells="1">
                  <from>
                    <xdr:col>3</xdr:col>
                    <xdr:colOff>137160</xdr:colOff>
                    <xdr:row>1</xdr:row>
                    <xdr:rowOff>251460</xdr:rowOff>
                  </from>
                  <to>
                    <xdr:col>3</xdr:col>
                    <xdr:colOff>1767840</xdr:colOff>
                    <xdr:row>2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LOs_Report">
    <pageSetUpPr fitToPage="1"/>
  </sheetPr>
  <dimension ref="B1:AD54"/>
  <sheetViews>
    <sheetView showGridLines="0" zoomScale="80" zoomScaleNormal="80" workbookViewId="0">
      <selection activeCell="H45" sqref="H45"/>
    </sheetView>
  </sheetViews>
  <sheetFormatPr defaultColWidth="0" defaultRowHeight="14.4" zeroHeight="1" x14ac:dyDescent="0.3"/>
  <cols>
    <col min="1" max="1" width="2.77734375" customWidth="1"/>
    <col min="2" max="2" width="7.77734375" customWidth="1"/>
    <col min="3" max="3" width="40.77734375" customWidth="1"/>
    <col min="4" max="4" width="18.77734375" customWidth="1"/>
    <col min="5" max="6" width="13.77734375" customWidth="1"/>
    <col min="7" max="7" width="20.77734375" customWidth="1"/>
    <col min="8" max="8" width="19.33203125" customWidth="1"/>
    <col min="9" max="9" width="8.88671875" hidden="1" customWidth="1"/>
    <col min="10" max="10" width="18.6640625" hidden="1" customWidth="1"/>
    <col min="11" max="15" width="8.88671875" hidden="1" customWidth="1"/>
    <col min="16" max="16" width="11.33203125" hidden="1" customWidth="1"/>
    <col min="17" max="17" width="9.109375" hidden="1" customWidth="1"/>
    <col min="18" max="18" width="11.88671875" hidden="1" customWidth="1"/>
    <col min="19" max="29" width="8.88671875" hidden="1" customWidth="1"/>
    <col min="30" max="30" width="43.5546875" hidden="1" customWidth="1"/>
  </cols>
  <sheetData>
    <row r="1" spans="2:7" ht="23.4" customHeight="1" x14ac:dyDescent="0.3">
      <c r="B1" s="271" t="s">
        <v>86</v>
      </c>
      <c r="C1" s="272"/>
      <c r="D1" s="272"/>
      <c r="E1" s="272"/>
      <c r="F1" s="272"/>
      <c r="G1" s="272"/>
    </row>
    <row r="2" spans="2:7" ht="55.2" hidden="1" customHeight="1" thickBot="1" x14ac:dyDescent="0.35">
      <c r="B2" s="275" t="s">
        <v>86</v>
      </c>
      <c r="C2" s="276"/>
      <c r="D2" s="276"/>
      <c r="E2" s="276"/>
      <c r="F2" s="276"/>
      <c r="G2" s="276"/>
    </row>
    <row r="3" spans="2:7" ht="52.95" hidden="1" customHeight="1" thickBot="1" x14ac:dyDescent="0.35">
      <c r="B3" s="283" t="s">
        <v>87</v>
      </c>
      <c r="C3" s="284"/>
      <c r="D3" s="285">
        <f>Inf_CourseTitle</f>
        <v>0</v>
      </c>
      <c r="E3" s="284"/>
      <c r="F3" s="284"/>
      <c r="G3" s="284"/>
    </row>
    <row r="4" spans="2:7" ht="14.4" customHeight="1" x14ac:dyDescent="0.3">
      <c r="B4" s="278" t="s">
        <v>88</v>
      </c>
      <c r="C4" s="279"/>
      <c r="D4" s="280">
        <f>Inf_CourseCode</f>
        <v>0</v>
      </c>
      <c r="E4" s="281"/>
      <c r="F4" s="281"/>
      <c r="G4" s="281"/>
    </row>
    <row r="5" spans="2:7" ht="14.4" customHeight="1" x14ac:dyDescent="0.3">
      <c r="B5" s="278" t="s">
        <v>89</v>
      </c>
      <c r="C5" s="279"/>
      <c r="D5" s="280">
        <f>Inf_Depart</f>
        <v>0</v>
      </c>
      <c r="E5" s="281"/>
      <c r="F5" s="281"/>
      <c r="G5" s="281"/>
    </row>
    <row r="6" spans="2:7" ht="14.4" customHeight="1" x14ac:dyDescent="0.3">
      <c r="B6" s="278" t="s">
        <v>90</v>
      </c>
      <c r="C6" s="279"/>
      <c r="D6" s="280">
        <f>Inf_Program</f>
        <v>0</v>
      </c>
      <c r="E6" s="281"/>
      <c r="F6" s="281"/>
      <c r="G6" s="281"/>
    </row>
    <row r="7" spans="2:7" ht="14.4" customHeight="1" x14ac:dyDescent="0.3">
      <c r="B7" s="278" t="s">
        <v>80</v>
      </c>
      <c r="C7" s="279"/>
      <c r="D7" s="280">
        <f>Inf_Collage</f>
        <v>0</v>
      </c>
      <c r="E7" s="281"/>
      <c r="F7" s="281"/>
      <c r="G7" s="281"/>
    </row>
    <row r="8" spans="2:7" ht="14.4" customHeight="1" x14ac:dyDescent="0.3">
      <c r="B8" s="278" t="s">
        <v>72</v>
      </c>
      <c r="C8" s="279"/>
      <c r="D8" s="280">
        <f>Inf_Sections</f>
        <v>0</v>
      </c>
      <c r="E8" s="281"/>
      <c r="F8" s="281"/>
      <c r="G8" s="281"/>
    </row>
    <row r="9" spans="2:7" ht="14.4" customHeight="1" x14ac:dyDescent="0.3">
      <c r="B9" s="278" t="s">
        <v>91</v>
      </c>
      <c r="C9" s="279"/>
      <c r="D9" s="280">
        <f>Inf_AcademicYear</f>
        <v>0</v>
      </c>
      <c r="E9" s="281"/>
      <c r="F9" s="281"/>
      <c r="G9" s="281"/>
    </row>
    <row r="10" spans="2:7" ht="14.4" customHeight="1" x14ac:dyDescent="0.3">
      <c r="B10" s="278" t="s">
        <v>92</v>
      </c>
      <c r="C10" s="279"/>
      <c r="D10" s="280">
        <f>Inf_Semester</f>
        <v>0</v>
      </c>
      <c r="E10" s="281"/>
      <c r="F10" s="281"/>
      <c r="G10" s="281"/>
    </row>
    <row r="11" spans="2:7" ht="14.4" customHeight="1" x14ac:dyDescent="0.3">
      <c r="B11" s="278" t="s">
        <v>93</v>
      </c>
      <c r="C11" s="279"/>
      <c r="D11" s="280">
        <f>Inf_Instructor</f>
        <v>0</v>
      </c>
      <c r="E11" s="281"/>
      <c r="F11" s="281"/>
      <c r="G11" s="281"/>
    </row>
    <row r="12" spans="2:7" ht="14.4" customHeight="1" x14ac:dyDescent="0.3">
      <c r="B12" s="278" t="s">
        <v>94</v>
      </c>
      <c r="C12" s="279"/>
      <c r="D12" s="280">
        <f>Inf_Coordinator</f>
        <v>0</v>
      </c>
      <c r="E12" s="281"/>
      <c r="F12" s="281"/>
      <c r="G12" s="281"/>
    </row>
    <row r="13" spans="2:7" ht="14.4" customHeight="1" x14ac:dyDescent="0.3">
      <c r="B13" s="278" t="s">
        <v>95</v>
      </c>
      <c r="C13" s="279"/>
      <c r="D13" s="280">
        <f>All_Stud</f>
        <v>0</v>
      </c>
      <c r="E13" s="281"/>
      <c r="F13" s="281"/>
      <c r="G13" s="281"/>
    </row>
    <row r="14" spans="2:7" ht="14.4" customHeight="1" x14ac:dyDescent="0.3">
      <c r="B14" s="278" t="s">
        <v>96</v>
      </c>
      <c r="C14" s="279"/>
      <c r="D14" s="280">
        <f>Regular_Stud</f>
        <v>0</v>
      </c>
      <c r="E14" s="281"/>
      <c r="F14" s="281"/>
      <c r="G14" s="281"/>
    </row>
    <row r="15" spans="2:7" ht="14.4" customHeight="1" x14ac:dyDescent="0.3">
      <c r="B15" s="278" t="s">
        <v>97</v>
      </c>
      <c r="C15" s="279"/>
      <c r="D15" s="280">
        <f>Inf_Date</f>
        <v>0</v>
      </c>
      <c r="E15" s="281"/>
      <c r="F15" s="281"/>
      <c r="G15" s="281"/>
    </row>
    <row r="16" spans="2:7" ht="14.4" customHeight="1" x14ac:dyDescent="0.3"/>
    <row r="17" spans="2:13" ht="22.2" customHeight="1" x14ac:dyDescent="0.3">
      <c r="B17" s="271" t="s">
        <v>98</v>
      </c>
      <c r="C17" s="272"/>
      <c r="D17" s="272"/>
      <c r="E17" s="272"/>
      <c r="F17" s="272"/>
      <c r="G17" s="272"/>
    </row>
    <row r="18" spans="2:13" ht="18" customHeight="1" x14ac:dyDescent="0.3">
      <c r="B18" s="273" t="s">
        <v>59</v>
      </c>
      <c r="C18" s="275" t="s">
        <v>99</v>
      </c>
      <c r="D18" s="277" t="s">
        <v>100</v>
      </c>
      <c r="E18" s="277" t="s">
        <v>101</v>
      </c>
      <c r="F18" s="235"/>
      <c r="G18" s="277" t="s">
        <v>51</v>
      </c>
      <c r="I18" t="s">
        <v>102</v>
      </c>
      <c r="J18" t="s">
        <v>22</v>
      </c>
      <c r="K18" t="s">
        <v>48</v>
      </c>
      <c r="L18" t="s">
        <v>109</v>
      </c>
      <c r="M18" t="s">
        <v>110</v>
      </c>
    </row>
    <row r="19" spans="2:13" ht="16.05" customHeight="1" x14ac:dyDescent="0.3">
      <c r="B19" s="274"/>
      <c r="C19" s="276"/>
      <c r="D19" s="235"/>
      <c r="E19" s="92" t="s">
        <v>22</v>
      </c>
      <c r="F19" s="92" t="s">
        <v>48</v>
      </c>
      <c r="G19" s="235"/>
      <c r="J19" s="129"/>
      <c r="K19" s="129"/>
    </row>
    <row r="20" spans="2:13" ht="24" customHeight="1" x14ac:dyDescent="0.3">
      <c r="B20" s="130">
        <f>CLOs!A10</f>
        <v>1</v>
      </c>
      <c r="C20" s="269" t="str">
        <f>CLOs!B10</f>
        <v>Knowledge and understanding</v>
      </c>
      <c r="D20" s="270"/>
      <c r="E20" s="270"/>
      <c r="F20" s="270"/>
      <c r="G20" s="270"/>
      <c r="J20" s="129"/>
      <c r="K20" s="129"/>
    </row>
    <row r="21" spans="2:13" ht="24" hidden="1" customHeight="1" x14ac:dyDescent="0.3">
      <c r="B21" s="93">
        <f>CLOs!A11</f>
        <v>1.1000000000000001</v>
      </c>
      <c r="C21" s="144" t="str">
        <f>IF(know_1="","",know_1)</f>
        <v/>
      </c>
      <c r="D21" s="93" t="str">
        <f>IF(K_1="","",K_1)</f>
        <v>K1</v>
      </c>
      <c r="E21" s="131">
        <f>TLK_1</f>
        <v>0</v>
      </c>
      <c r="F21" s="147">
        <f>Act_Level_K1</f>
        <v>0</v>
      </c>
      <c r="G21" s="93" t="str">
        <f>IF(F21&gt;=E21,"Target achieved","Target not achieved")</f>
        <v>Target achieved</v>
      </c>
      <c r="J21" s="129"/>
      <c r="K21" s="129"/>
    </row>
    <row r="22" spans="2:13" ht="24" hidden="1" customHeight="1" x14ac:dyDescent="0.3">
      <c r="B22" s="95">
        <f>CLOs!A12</f>
        <v>1.2</v>
      </c>
      <c r="C22" s="145" t="str">
        <f>IF(know_2="","",know_2)</f>
        <v/>
      </c>
      <c r="D22" s="95" t="str">
        <f>IF(K_2="","",K_2)</f>
        <v>K2</v>
      </c>
      <c r="E22" s="132">
        <f>TLK_2</f>
        <v>0</v>
      </c>
      <c r="F22" s="148">
        <f>Act_Level_K2</f>
        <v>0</v>
      </c>
      <c r="G22" s="95" t="str">
        <f>IF(F22&gt;=E22,"Target achieved","Target not achieved")</f>
        <v>Target achieved</v>
      </c>
      <c r="J22" s="129"/>
      <c r="K22" s="129"/>
    </row>
    <row r="23" spans="2:13" ht="24" hidden="1" customHeight="1" x14ac:dyDescent="0.3">
      <c r="B23" s="93">
        <f>CLOs!A13</f>
        <v>1.3</v>
      </c>
      <c r="C23" s="144" t="str">
        <f>IF(know_3="","",know_3)</f>
        <v/>
      </c>
      <c r="D23" s="93" t="str">
        <f>IF(K_3="","",K_3)</f>
        <v>K3</v>
      </c>
      <c r="E23" s="131">
        <f>TLK_3</f>
        <v>0</v>
      </c>
      <c r="F23" s="147">
        <f>Act_Level_K3</f>
        <v>0</v>
      </c>
      <c r="G23" s="93" t="str">
        <f>IF(F23&gt;=E23,"Target achieved","Target not achieved")</f>
        <v>Target achieved</v>
      </c>
      <c r="J23" s="129"/>
      <c r="K23" s="129"/>
    </row>
    <row r="24" spans="2:13" ht="24" hidden="1" customHeight="1" x14ac:dyDescent="0.3">
      <c r="B24" s="95">
        <f>CLOs!A14</f>
        <v>1.4</v>
      </c>
      <c r="C24" s="145" t="str">
        <f>IF(know_4="","",know_4)</f>
        <v/>
      </c>
      <c r="D24" s="95" t="str">
        <f>IF(K_4="","",K_4)</f>
        <v>K4</v>
      </c>
      <c r="E24" s="132">
        <f>TLK_4</f>
        <v>0</v>
      </c>
      <c r="F24" s="148">
        <f>Act_Level_K4</f>
        <v>0</v>
      </c>
      <c r="G24" s="95" t="str">
        <f>IF(F24&gt;=E24,"Target achieved","Target not achieved")</f>
        <v>Target achieved</v>
      </c>
      <c r="J24" s="129"/>
      <c r="K24" s="129"/>
    </row>
    <row r="25" spans="2:13" ht="24" customHeight="1" x14ac:dyDescent="0.3">
      <c r="B25" s="130">
        <f>CLOs!A15</f>
        <v>2</v>
      </c>
      <c r="C25" s="269" t="str">
        <f>CLOs!B15</f>
        <v>Skills</v>
      </c>
      <c r="D25" s="270"/>
      <c r="E25" s="270"/>
      <c r="F25" s="270"/>
      <c r="G25" s="270"/>
      <c r="J25" s="129"/>
      <c r="K25" s="129"/>
    </row>
    <row r="26" spans="2:13" ht="24" hidden="1" customHeight="1" x14ac:dyDescent="0.3">
      <c r="B26" s="93">
        <f>CLOs!A16</f>
        <v>2.1</v>
      </c>
      <c r="C26" s="144" t="str">
        <f>IF(skil_1="","",skil_1)</f>
        <v/>
      </c>
      <c r="D26" s="93" t="str">
        <f>IF(S_1="","",S_1)</f>
        <v>S1</v>
      </c>
      <c r="E26" s="131">
        <f>TLS_1</f>
        <v>0</v>
      </c>
      <c r="F26" s="147">
        <f>Act_Level_S1</f>
        <v>0</v>
      </c>
      <c r="G26" s="93" t="str">
        <f t="shared" ref="G26:G32" si="0">IF(F26&gt;=E26,"Target achieved","Target not achieved")</f>
        <v>Target achieved</v>
      </c>
      <c r="J26" s="129"/>
      <c r="K26" s="129"/>
    </row>
    <row r="27" spans="2:13" ht="24" hidden="1" customHeight="1" x14ac:dyDescent="0.3">
      <c r="B27" s="95">
        <f>CLOs!A17</f>
        <v>2.2000000000000002</v>
      </c>
      <c r="C27" s="145" t="str">
        <f>IF(skil_2="","",skil_2)</f>
        <v/>
      </c>
      <c r="D27" s="95" t="str">
        <f>IF(S_2="","",S_2)</f>
        <v>S2</v>
      </c>
      <c r="E27" s="132">
        <f>TLS_2</f>
        <v>0</v>
      </c>
      <c r="F27" s="148">
        <f>Act_Level_S2</f>
        <v>0</v>
      </c>
      <c r="G27" s="95" t="str">
        <f t="shared" si="0"/>
        <v>Target achieved</v>
      </c>
      <c r="J27" s="129"/>
      <c r="K27" s="129"/>
    </row>
    <row r="28" spans="2:13" ht="24" hidden="1" customHeight="1" x14ac:dyDescent="0.3">
      <c r="B28" s="93">
        <f>CLOs!A18</f>
        <v>2.2999999999999998</v>
      </c>
      <c r="C28" s="144" t="str">
        <f>IF(skil_3="","",skil_3)</f>
        <v/>
      </c>
      <c r="D28" s="93" t="str">
        <f>IF(S_3="","",S_3)</f>
        <v>S3</v>
      </c>
      <c r="E28" s="131">
        <f>TLS_3</f>
        <v>0</v>
      </c>
      <c r="F28" s="147">
        <f>Act_Level_S3</f>
        <v>0</v>
      </c>
      <c r="G28" s="93" t="str">
        <f t="shared" si="0"/>
        <v>Target achieved</v>
      </c>
      <c r="J28" s="129"/>
      <c r="K28" s="129"/>
    </row>
    <row r="29" spans="2:13" ht="24" hidden="1" customHeight="1" x14ac:dyDescent="0.3">
      <c r="B29" s="95">
        <f>CLOs!A19</f>
        <v>2.4</v>
      </c>
      <c r="C29" s="145" t="str">
        <f>IF(skil_4="","",skil_4)</f>
        <v/>
      </c>
      <c r="D29" s="95" t="str">
        <f>IF(S_4="","",S_4)</f>
        <v>S4</v>
      </c>
      <c r="E29" s="132">
        <f>TLS_4</f>
        <v>0</v>
      </c>
      <c r="F29" s="148">
        <f>Act_Level_S4</f>
        <v>0</v>
      </c>
      <c r="G29" s="95" t="str">
        <f t="shared" si="0"/>
        <v>Target achieved</v>
      </c>
      <c r="J29" s="129"/>
      <c r="K29" s="129"/>
    </row>
    <row r="30" spans="2:13" ht="24" hidden="1" customHeight="1" x14ac:dyDescent="0.3">
      <c r="B30" s="93">
        <f>CLOs!A20</f>
        <v>2.5</v>
      </c>
      <c r="C30" s="144" t="str">
        <f>IF(skil_5="","",skil_5)</f>
        <v/>
      </c>
      <c r="D30" s="93" t="str">
        <f>IF(S_5="","",S_5)</f>
        <v>S5</v>
      </c>
      <c r="E30" s="131">
        <f>TLS_5</f>
        <v>0</v>
      </c>
      <c r="F30" s="147">
        <f>Act_Level_S5</f>
        <v>0</v>
      </c>
      <c r="G30" s="93" t="str">
        <f t="shared" si="0"/>
        <v>Target achieved</v>
      </c>
      <c r="J30" s="129"/>
      <c r="K30" s="129"/>
    </row>
    <row r="31" spans="2:13" ht="24" hidden="1" customHeight="1" x14ac:dyDescent="0.3">
      <c r="B31" s="95">
        <f>CLOs!A21</f>
        <v>2.6</v>
      </c>
      <c r="C31" s="145" t="str">
        <f>IF(skil_6="","",skil_6)</f>
        <v/>
      </c>
      <c r="D31" s="95" t="str">
        <f>IF(S_6="","",S_6)</f>
        <v>S6</v>
      </c>
      <c r="E31" s="132">
        <f>TLS_6</f>
        <v>0</v>
      </c>
      <c r="F31" s="148">
        <f>Act_Level_S6</f>
        <v>0</v>
      </c>
      <c r="G31" s="95" t="str">
        <f t="shared" si="0"/>
        <v>Target achieved</v>
      </c>
      <c r="J31" s="129"/>
      <c r="K31" s="129"/>
    </row>
    <row r="32" spans="2:13" ht="24" hidden="1" customHeight="1" x14ac:dyDescent="0.3">
      <c r="B32" s="93">
        <f>CLOs!A22</f>
        <v>2.7</v>
      </c>
      <c r="C32" s="144" t="str">
        <f>IF(skil_7="","",skil_7)</f>
        <v/>
      </c>
      <c r="D32" s="93" t="str">
        <f>IF(S_7="","",S_7)</f>
        <v>S7</v>
      </c>
      <c r="E32" s="131">
        <f>TLS_7</f>
        <v>0</v>
      </c>
      <c r="F32" s="147">
        <f>Act_Level_S7</f>
        <v>0</v>
      </c>
      <c r="G32" s="93" t="str">
        <f t="shared" si="0"/>
        <v>Target achieved</v>
      </c>
      <c r="J32" s="129"/>
      <c r="K32" s="129"/>
    </row>
    <row r="33" spans="2:11" ht="24" customHeight="1" x14ac:dyDescent="0.3">
      <c r="B33" s="130">
        <f>CLOs!A23</f>
        <v>3</v>
      </c>
      <c r="C33" s="269" t="str">
        <f>CLOs!B23</f>
        <v>Values</v>
      </c>
      <c r="D33" s="270"/>
      <c r="E33" s="270"/>
      <c r="F33" s="270"/>
      <c r="G33" s="270"/>
      <c r="J33" s="129"/>
      <c r="K33" s="129"/>
    </row>
    <row r="34" spans="2:11" ht="24" hidden="1" customHeight="1" x14ac:dyDescent="0.3">
      <c r="B34" s="95">
        <f>CLOs!A24</f>
        <v>3.1</v>
      </c>
      <c r="C34" s="145" t="str">
        <f>IF(value_1="","",value_1)</f>
        <v/>
      </c>
      <c r="D34" s="95" t="str">
        <f>IF(V_1="","",V_1)</f>
        <v>V1</v>
      </c>
      <c r="E34" s="132">
        <f>TLV_1</f>
        <v>0</v>
      </c>
      <c r="F34" s="148">
        <f>Act_Level_V1</f>
        <v>0</v>
      </c>
      <c r="G34" s="95" t="str">
        <f>IF(F34&gt;=E34,"Target achieved","Target not achieved")</f>
        <v>Target achieved</v>
      </c>
    </row>
    <row r="35" spans="2:11" ht="24" hidden="1" customHeight="1" x14ac:dyDescent="0.3">
      <c r="B35" s="93">
        <f>CLOs!A25</f>
        <v>3.2</v>
      </c>
      <c r="C35" s="144" t="str">
        <f>IF(value_2="","",value_2)</f>
        <v/>
      </c>
      <c r="D35" s="93" t="str">
        <f>IF(V_2="","",V_2)</f>
        <v>V2</v>
      </c>
      <c r="E35" s="131">
        <f>TLV_2</f>
        <v>0</v>
      </c>
      <c r="F35" s="147">
        <f>Act_Level_V2</f>
        <v>0</v>
      </c>
      <c r="G35" s="93" t="str">
        <f>IF(F35&gt;=E35,"Target achieved","Target not achieved")</f>
        <v>Target achieved</v>
      </c>
    </row>
    <row r="36" spans="2:11" ht="24" hidden="1" customHeight="1" x14ac:dyDescent="0.3">
      <c r="B36" s="95">
        <f>CLOs!A26</f>
        <v>3.3</v>
      </c>
      <c r="C36" s="145" t="str">
        <f>IF(value_3="","",value_3)</f>
        <v/>
      </c>
      <c r="D36" s="95" t="str">
        <f>IF(V_3="","",V_3)</f>
        <v>V3</v>
      </c>
      <c r="E36" s="132">
        <f>TLV_3</f>
        <v>0</v>
      </c>
      <c r="F36" s="148">
        <f>Act_Level_V3</f>
        <v>0</v>
      </c>
      <c r="G36" s="95" t="str">
        <f>IF(F36&gt;=E36,"Target achieved","Target not achieved")</f>
        <v>Target achieved</v>
      </c>
    </row>
    <row r="37" spans="2:11" ht="24" hidden="1" customHeight="1" x14ac:dyDescent="0.3">
      <c r="B37" s="93">
        <f>CLOs!A27</f>
        <v>3.4</v>
      </c>
      <c r="C37" s="144" t="str">
        <f>IF(value_4="","",value_4)</f>
        <v/>
      </c>
      <c r="D37" s="93" t="str">
        <f>IF(V_4="","",V_4)</f>
        <v>V4</v>
      </c>
      <c r="E37" s="131">
        <f>TLV_4</f>
        <v>0</v>
      </c>
      <c r="F37" s="147">
        <f>Act_Level_V4</f>
        <v>0</v>
      </c>
      <c r="G37" s="93" t="str">
        <f>IF(F37&gt;=E37,"Target achieved","Target not achieved")</f>
        <v>Target achieved</v>
      </c>
    </row>
    <row r="38" spans="2:11" ht="30" customHeight="1" x14ac:dyDescent="0.3">
      <c r="B38" s="282" t="str">
        <f>IF(_xlfn.TEXTJOIN("",TRUE,$M$19:$M$33)="","All course learning outcomes have been achieved.","An improvement plan must be prepared for the outcome(s) that did not "&amp;"achieve the target: "&amp;_xlfn.TEXTJOIN(", ",TRUE,$M$19:$M$33))</f>
        <v>All course learning outcomes have been achieved.</v>
      </c>
      <c r="C38" s="282"/>
      <c r="D38" s="282"/>
      <c r="E38" s="282"/>
      <c r="F38" s="282"/>
      <c r="G38" s="282"/>
    </row>
    <row r="39" spans="2:11" ht="23.4" customHeight="1" x14ac:dyDescent="0.3"/>
    <row r="40" spans="2:11" ht="23.4" customHeight="1" x14ac:dyDescent="0.3"/>
    <row r="41" spans="2:11" ht="23.4" customHeight="1" x14ac:dyDescent="0.3"/>
    <row r="42" spans="2:11" ht="23.4" customHeight="1" x14ac:dyDescent="0.3"/>
    <row r="43" spans="2:11" ht="23.4" customHeight="1" x14ac:dyDescent="0.3"/>
    <row r="44" spans="2:11" ht="23.4" customHeight="1" x14ac:dyDescent="0.3"/>
    <row r="45" spans="2:11" x14ac:dyDescent="0.3"/>
    <row r="46" spans="2:11" x14ac:dyDescent="0.3"/>
    <row r="47" spans="2:11" x14ac:dyDescent="0.3"/>
    <row r="48" spans="2:11" x14ac:dyDescent="0.3"/>
    <row r="49" x14ac:dyDescent="0.3"/>
    <row r="50" x14ac:dyDescent="0.3"/>
    <row r="51" x14ac:dyDescent="0.3"/>
    <row r="52" x14ac:dyDescent="0.3"/>
    <row r="53" x14ac:dyDescent="0.3"/>
    <row r="54" x14ac:dyDescent="0.3"/>
  </sheetData>
  <sheetProtection algorithmName="SHA-512" hashValue="KhhjsxwTYbDz9byG8RN9qrUjsp4ZGq7T3pwap//X/id1+Nqxd0FZWopJEjM0aJT7R/toyNYr6aOWj9jPbSQoXA==" saltValue="zMoF4gl6BiWT9LfA5C8Keg==" spinCount="100000" sheet="1" objects="1" scenarios="1" selectLockedCells="1" selectUnlockedCells="1"/>
  <mergeCells count="38">
    <mergeCell ref="B38:G38"/>
    <mergeCell ref="D4:G4"/>
    <mergeCell ref="B2:G2"/>
    <mergeCell ref="B3:C3"/>
    <mergeCell ref="D3:G3"/>
    <mergeCell ref="B4:C4"/>
    <mergeCell ref="D5:G5"/>
    <mergeCell ref="B6:C6"/>
    <mergeCell ref="D6:G6"/>
    <mergeCell ref="B7:C7"/>
    <mergeCell ref="D7:G7"/>
    <mergeCell ref="B5:C5"/>
    <mergeCell ref="B12:C12"/>
    <mergeCell ref="D12:G12"/>
    <mergeCell ref="B13:C13"/>
    <mergeCell ref="D13:G13"/>
    <mergeCell ref="B8:C8"/>
    <mergeCell ref="D8:G8"/>
    <mergeCell ref="B9:C9"/>
    <mergeCell ref="D9:G9"/>
    <mergeCell ref="B10:C10"/>
    <mergeCell ref="D10:G10"/>
    <mergeCell ref="C20:G20"/>
    <mergeCell ref="C25:G25"/>
    <mergeCell ref="C33:G33"/>
    <mergeCell ref="B1:G1"/>
    <mergeCell ref="B18:B19"/>
    <mergeCell ref="C18:C19"/>
    <mergeCell ref="D18:D19"/>
    <mergeCell ref="E18:F18"/>
    <mergeCell ref="G18:G19"/>
    <mergeCell ref="B14:C14"/>
    <mergeCell ref="D14:G14"/>
    <mergeCell ref="B15:C15"/>
    <mergeCell ref="D15:G15"/>
    <mergeCell ref="B17:G17"/>
    <mergeCell ref="B11:C11"/>
    <mergeCell ref="D11:G11"/>
  </mergeCells>
  <conditionalFormatting sqref="B20:G37">
    <cfRule type="expression" dxfId="0" priority="1" stopIfTrue="1">
      <formula>AND(ISNUMBER($F20),ISNUMBER($E20),$F20&lt;$E20)</formula>
    </cfRule>
  </conditionalFormatting>
  <printOptions horizontalCentered="1"/>
  <pageMargins left="0.70866141732283472" right="0.70866141732283472" top="0.74803149606299213" bottom="0.74803149606299213" header="0.31496062992125989" footer="0.31496062992125989"/>
  <pageSetup scale="78" orientation="portrait" r:id="rId1"/>
  <headerFooter>
    <oddFooter>&amp;L&amp;"Arial"&amp;90&amp;R&amp;"Arial"&amp;9Page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Refresh_CLOsReport">
                <anchor moveWithCells="1" sizeWithCells="1">
                  <from>
                    <xdr:col>7</xdr:col>
                    <xdr:colOff>45720</xdr:colOff>
                    <xdr:row>0</xdr:row>
                    <xdr:rowOff>137160</xdr:rowOff>
                  </from>
                  <to>
                    <xdr:col>7</xdr:col>
                    <xdr:colOff>1303020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Print_CLOsReport">
                <anchor moveWithCells="1" sizeWithCells="1">
                  <from>
                    <xdr:col>7</xdr:col>
                    <xdr:colOff>30480</xdr:colOff>
                    <xdr:row>4</xdr:row>
                    <xdr:rowOff>121920</xdr:rowOff>
                  </from>
                  <to>
                    <xdr:col>7</xdr:col>
                    <xdr:colOff>1287780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364</vt:i4>
      </vt:variant>
    </vt:vector>
  </HeadingPairs>
  <TitlesOfParts>
    <vt:vector size="372" baseType="lpstr">
      <vt:lpstr>Information</vt:lpstr>
      <vt:lpstr>CLOs</vt:lpstr>
      <vt:lpstr>Topics</vt:lpstr>
      <vt:lpstr>Activities</vt:lpstr>
      <vt:lpstr>Table_Specifications</vt:lpstr>
      <vt:lpstr>Exams_sheet</vt:lpstr>
      <vt:lpstr>Marks</vt:lpstr>
      <vt:lpstr>CLOs_Report</vt:lpstr>
      <vt:lpstr>ACT_1</vt:lpstr>
      <vt:lpstr>ACT_10</vt:lpstr>
      <vt:lpstr>ACT_11</vt:lpstr>
      <vt:lpstr>ACT_12</vt:lpstr>
      <vt:lpstr>ACT_13</vt:lpstr>
      <vt:lpstr>ACT_14</vt:lpstr>
      <vt:lpstr>ACT_15</vt:lpstr>
      <vt:lpstr>ACT_2</vt:lpstr>
      <vt:lpstr>ACT_3</vt:lpstr>
      <vt:lpstr>ACT_4</vt:lpstr>
      <vt:lpstr>ACT_5</vt:lpstr>
      <vt:lpstr>ACT_6</vt:lpstr>
      <vt:lpstr>ACT_7</vt:lpstr>
      <vt:lpstr>ACT_8</vt:lpstr>
      <vt:lpstr>ACT_9</vt:lpstr>
      <vt:lpstr>Act_Level_K1</vt:lpstr>
      <vt:lpstr>Act_Level_K2</vt:lpstr>
      <vt:lpstr>Act_Level_K3</vt:lpstr>
      <vt:lpstr>Act_Level_K4</vt:lpstr>
      <vt:lpstr>Act_Level_S1</vt:lpstr>
      <vt:lpstr>Act_Level_S2</vt:lpstr>
      <vt:lpstr>Act_Level_S3</vt:lpstr>
      <vt:lpstr>Act_Level_S4</vt:lpstr>
      <vt:lpstr>Act_Level_S5</vt:lpstr>
      <vt:lpstr>Act_Level_S6</vt:lpstr>
      <vt:lpstr>Act_Level_S7</vt:lpstr>
      <vt:lpstr>Act_Level_V1</vt:lpstr>
      <vt:lpstr>Act_Level_V2</vt:lpstr>
      <vt:lpstr>Act_Level_V3</vt:lpstr>
      <vt:lpstr>Act_Level_V4</vt:lpstr>
      <vt:lpstr>All_Stud</vt:lpstr>
      <vt:lpstr>All1_1</vt:lpstr>
      <vt:lpstr>All1_10</vt:lpstr>
      <vt:lpstr>All1_11</vt:lpstr>
      <vt:lpstr>All1_12</vt:lpstr>
      <vt:lpstr>All1_13</vt:lpstr>
      <vt:lpstr>All1_14</vt:lpstr>
      <vt:lpstr>All1_15</vt:lpstr>
      <vt:lpstr>All1_2</vt:lpstr>
      <vt:lpstr>All1_3</vt:lpstr>
      <vt:lpstr>All1_4</vt:lpstr>
      <vt:lpstr>All1_5</vt:lpstr>
      <vt:lpstr>All1_6</vt:lpstr>
      <vt:lpstr>All1_7</vt:lpstr>
      <vt:lpstr>All1_8</vt:lpstr>
      <vt:lpstr>All1_9</vt:lpstr>
      <vt:lpstr>All2_1</vt:lpstr>
      <vt:lpstr>All2_10</vt:lpstr>
      <vt:lpstr>All2_11</vt:lpstr>
      <vt:lpstr>All2_12</vt:lpstr>
      <vt:lpstr>All2_13</vt:lpstr>
      <vt:lpstr>All2_14</vt:lpstr>
      <vt:lpstr>All2_15</vt:lpstr>
      <vt:lpstr>All2_2</vt:lpstr>
      <vt:lpstr>All2_3</vt:lpstr>
      <vt:lpstr>All2_4</vt:lpstr>
      <vt:lpstr>All2_5</vt:lpstr>
      <vt:lpstr>All2_6</vt:lpstr>
      <vt:lpstr>All2_7</vt:lpstr>
      <vt:lpstr>All2_8</vt:lpstr>
      <vt:lpstr>All2_9</vt:lpstr>
      <vt:lpstr>All3_1</vt:lpstr>
      <vt:lpstr>All3_10</vt:lpstr>
      <vt:lpstr>All3_11</vt:lpstr>
      <vt:lpstr>All3_12</vt:lpstr>
      <vt:lpstr>All3_13</vt:lpstr>
      <vt:lpstr>All3_14</vt:lpstr>
      <vt:lpstr>All3_15</vt:lpstr>
      <vt:lpstr>All3_2</vt:lpstr>
      <vt:lpstr>All3_3</vt:lpstr>
      <vt:lpstr>All3_4</vt:lpstr>
      <vt:lpstr>All3_5</vt:lpstr>
      <vt:lpstr>All3_6</vt:lpstr>
      <vt:lpstr>All3_7</vt:lpstr>
      <vt:lpstr>All3_8</vt:lpstr>
      <vt:lpstr>All3_9</vt:lpstr>
      <vt:lpstr>All4_1</vt:lpstr>
      <vt:lpstr>All4_10</vt:lpstr>
      <vt:lpstr>All4_11</vt:lpstr>
      <vt:lpstr>All4_12</vt:lpstr>
      <vt:lpstr>All4_13</vt:lpstr>
      <vt:lpstr>All4_14</vt:lpstr>
      <vt:lpstr>All4_15</vt:lpstr>
      <vt:lpstr>All4_2</vt:lpstr>
      <vt:lpstr>All4_3</vt:lpstr>
      <vt:lpstr>All4_4</vt:lpstr>
      <vt:lpstr>All4_5</vt:lpstr>
      <vt:lpstr>All4_6</vt:lpstr>
      <vt:lpstr>All4_7</vt:lpstr>
      <vt:lpstr>All4_8</vt:lpstr>
      <vt:lpstr>All4_9</vt:lpstr>
      <vt:lpstr>Assign_1</vt:lpstr>
      <vt:lpstr>Assign_10</vt:lpstr>
      <vt:lpstr>Assign_11</vt:lpstr>
      <vt:lpstr>Assign_2</vt:lpstr>
      <vt:lpstr>Assign_3</vt:lpstr>
      <vt:lpstr>Assign_4</vt:lpstr>
      <vt:lpstr>Assign_5</vt:lpstr>
      <vt:lpstr>Assign_6</vt:lpstr>
      <vt:lpstr>Assign_7</vt:lpstr>
      <vt:lpstr>Assign_8</vt:lpstr>
      <vt:lpstr>Assign_9</vt:lpstr>
      <vt:lpstr>Exam_1</vt:lpstr>
      <vt:lpstr>Exam_10</vt:lpstr>
      <vt:lpstr>Exam_11</vt:lpstr>
      <vt:lpstr>Exam_12</vt:lpstr>
      <vt:lpstr>Exam_13</vt:lpstr>
      <vt:lpstr>Exam_14</vt:lpstr>
      <vt:lpstr>Exam_15</vt:lpstr>
      <vt:lpstr>Exam_2</vt:lpstr>
      <vt:lpstr>Exam_3</vt:lpstr>
      <vt:lpstr>Exam_4</vt:lpstr>
      <vt:lpstr>Exam_5</vt:lpstr>
      <vt:lpstr>Exam_6</vt:lpstr>
      <vt:lpstr>Exam_7</vt:lpstr>
      <vt:lpstr>Exam_8</vt:lpstr>
      <vt:lpstr>Exam_9</vt:lpstr>
      <vt:lpstr>Exam1_1</vt:lpstr>
      <vt:lpstr>Exam1_10</vt:lpstr>
      <vt:lpstr>Exam1_2</vt:lpstr>
      <vt:lpstr>Exam1_3</vt:lpstr>
      <vt:lpstr>Exam1_4</vt:lpstr>
      <vt:lpstr>Exam1_5</vt:lpstr>
      <vt:lpstr>Exam1_6</vt:lpstr>
      <vt:lpstr>Exam1_7</vt:lpstr>
      <vt:lpstr>Exam1_8</vt:lpstr>
      <vt:lpstr>Exam1_9</vt:lpstr>
      <vt:lpstr>Exam2_1</vt:lpstr>
      <vt:lpstr>Exam2_10</vt:lpstr>
      <vt:lpstr>Exam2_2</vt:lpstr>
      <vt:lpstr>Exam2_3</vt:lpstr>
      <vt:lpstr>Exam2_4</vt:lpstr>
      <vt:lpstr>Exam2_5</vt:lpstr>
      <vt:lpstr>Exam2_6</vt:lpstr>
      <vt:lpstr>Exam2_7</vt:lpstr>
      <vt:lpstr>Exam2_8</vt:lpstr>
      <vt:lpstr>Exam2_9</vt:lpstr>
      <vt:lpstr>Exam3_1</vt:lpstr>
      <vt:lpstr>Exam3_10</vt:lpstr>
      <vt:lpstr>Exam3_2</vt:lpstr>
      <vt:lpstr>Exam3_3</vt:lpstr>
      <vt:lpstr>Exam3_4</vt:lpstr>
      <vt:lpstr>Exam3_5</vt:lpstr>
      <vt:lpstr>Exam3_6</vt:lpstr>
      <vt:lpstr>Exam3_7</vt:lpstr>
      <vt:lpstr>Exam3_8</vt:lpstr>
      <vt:lpstr>Exam3_9</vt:lpstr>
      <vt:lpstr>Exam6_1</vt:lpstr>
      <vt:lpstr>Exam6_10</vt:lpstr>
      <vt:lpstr>Exam6_2</vt:lpstr>
      <vt:lpstr>Exam6_3</vt:lpstr>
      <vt:lpstr>Exam6_4</vt:lpstr>
      <vt:lpstr>Exam6_5</vt:lpstr>
      <vt:lpstr>Exam6_6</vt:lpstr>
      <vt:lpstr>Exam6_7</vt:lpstr>
      <vt:lpstr>Exam6_8</vt:lpstr>
      <vt:lpstr>Exam6_9</vt:lpstr>
      <vt:lpstr>Full_Mark</vt:lpstr>
      <vt:lpstr>Grade_col</vt:lpstr>
      <vt:lpstr>Inf_AcademicYear</vt:lpstr>
      <vt:lpstr>Inf_Collage</vt:lpstr>
      <vt:lpstr>Inf_Coordinator</vt:lpstr>
      <vt:lpstr>Inf_CourseCode</vt:lpstr>
      <vt:lpstr>Inf_CourseTitle</vt:lpstr>
      <vt:lpstr>Inf_Date</vt:lpstr>
      <vt:lpstr>Inf_Depart</vt:lpstr>
      <vt:lpstr>Inf_Instructor</vt:lpstr>
      <vt:lpstr>Inf_Program</vt:lpstr>
      <vt:lpstr>Inf_Sections</vt:lpstr>
      <vt:lpstr>Inf_Semester</vt:lpstr>
      <vt:lpstr>K_1</vt:lpstr>
      <vt:lpstr>K_2</vt:lpstr>
      <vt:lpstr>K_3</vt:lpstr>
      <vt:lpstr>K_4</vt:lpstr>
      <vt:lpstr>know_1</vt:lpstr>
      <vt:lpstr>know_2</vt:lpstr>
      <vt:lpstr>know_3</vt:lpstr>
      <vt:lpstr>know_4</vt:lpstr>
      <vt:lpstr>Lab_1</vt:lpstr>
      <vt:lpstr>Lab_10</vt:lpstr>
      <vt:lpstr>Lab_2</vt:lpstr>
      <vt:lpstr>Lab_3</vt:lpstr>
      <vt:lpstr>Lab_4</vt:lpstr>
      <vt:lpstr>Lab_5</vt:lpstr>
      <vt:lpstr>Lab_6</vt:lpstr>
      <vt:lpstr>Lab_7</vt:lpstr>
      <vt:lpstr>Lab_8</vt:lpstr>
      <vt:lpstr>Lab_9</vt:lpstr>
      <vt:lpstr>MarkF_col</vt:lpstr>
      <vt:lpstr>N</vt:lpstr>
      <vt:lpstr>N_total</vt:lpstr>
      <vt:lpstr>Oral_1</vt:lpstr>
      <vt:lpstr>Oral_2</vt:lpstr>
      <vt:lpstr>Oral_3</vt:lpstr>
      <vt:lpstr>Oral_4</vt:lpstr>
      <vt:lpstr>Oral_5</vt:lpstr>
      <vt:lpstr>Present_1</vt:lpstr>
      <vt:lpstr>Present_10</vt:lpstr>
      <vt:lpstr>Present_11</vt:lpstr>
      <vt:lpstr>Present_2</vt:lpstr>
      <vt:lpstr>Present_3</vt:lpstr>
      <vt:lpstr>Present_4</vt:lpstr>
      <vt:lpstr>Present_5</vt:lpstr>
      <vt:lpstr>Present_6</vt:lpstr>
      <vt:lpstr>Present_7</vt:lpstr>
      <vt:lpstr>Present_8</vt:lpstr>
      <vt:lpstr>Present_9</vt:lpstr>
      <vt:lpstr>CLOs_Report!Print_Area</vt:lpstr>
      <vt:lpstr>Exams_sheet!Print_Area</vt:lpstr>
      <vt:lpstr>Project_1</vt:lpstr>
      <vt:lpstr>Project_2</vt:lpstr>
      <vt:lpstr>Project_3</vt:lpstr>
      <vt:lpstr>Project_4</vt:lpstr>
      <vt:lpstr>Project_5</vt:lpstr>
      <vt:lpstr>Quiz_1</vt:lpstr>
      <vt:lpstr>Quiz_10</vt:lpstr>
      <vt:lpstr>Quiz_2</vt:lpstr>
      <vt:lpstr>Quiz_3</vt:lpstr>
      <vt:lpstr>Quiz_4</vt:lpstr>
      <vt:lpstr>Quiz_5</vt:lpstr>
      <vt:lpstr>Quiz_6</vt:lpstr>
      <vt:lpstr>Quiz_7</vt:lpstr>
      <vt:lpstr>Quiz_8</vt:lpstr>
      <vt:lpstr>Quiz_9</vt:lpstr>
      <vt:lpstr>Regular_Stud</vt:lpstr>
      <vt:lpstr>Report_1</vt:lpstr>
      <vt:lpstr>Report_10</vt:lpstr>
      <vt:lpstr>Report_11</vt:lpstr>
      <vt:lpstr>Report_2</vt:lpstr>
      <vt:lpstr>Report_3</vt:lpstr>
      <vt:lpstr>Report_4</vt:lpstr>
      <vt:lpstr>Report_5</vt:lpstr>
      <vt:lpstr>Report_6</vt:lpstr>
      <vt:lpstr>Report_7</vt:lpstr>
      <vt:lpstr>Report_8</vt:lpstr>
      <vt:lpstr>Report_9</vt:lpstr>
      <vt:lpstr>S_1</vt:lpstr>
      <vt:lpstr>S_2</vt:lpstr>
      <vt:lpstr>S_3</vt:lpstr>
      <vt:lpstr>S_4</vt:lpstr>
      <vt:lpstr>S_5</vt:lpstr>
      <vt:lpstr>S_6</vt:lpstr>
      <vt:lpstr>S_7</vt:lpstr>
      <vt:lpstr>skil_1</vt:lpstr>
      <vt:lpstr>skil_2</vt:lpstr>
      <vt:lpstr>skil_3</vt:lpstr>
      <vt:lpstr>skil_4</vt:lpstr>
      <vt:lpstr>skil_5</vt:lpstr>
      <vt:lpstr>skil_6</vt:lpstr>
      <vt:lpstr>skil_7</vt:lpstr>
      <vt:lpstr>Status_col</vt:lpstr>
      <vt:lpstr>TLK_1</vt:lpstr>
      <vt:lpstr>TLK_2</vt:lpstr>
      <vt:lpstr>TLK_3</vt:lpstr>
      <vt:lpstr>TLK_4</vt:lpstr>
      <vt:lpstr>TLS_1</vt:lpstr>
      <vt:lpstr>TLS_2</vt:lpstr>
      <vt:lpstr>TLS_3</vt:lpstr>
      <vt:lpstr>TLS_4</vt:lpstr>
      <vt:lpstr>TLS_5</vt:lpstr>
      <vt:lpstr>TLS_6</vt:lpstr>
      <vt:lpstr>TLS_7</vt:lpstr>
      <vt:lpstr>TLV_1</vt:lpstr>
      <vt:lpstr>TLV_2</vt:lpstr>
      <vt:lpstr>TLV_3</vt:lpstr>
      <vt:lpstr>TLV_4</vt:lpstr>
      <vt:lpstr>Top_1</vt:lpstr>
      <vt:lpstr>Top_10</vt:lpstr>
      <vt:lpstr>Top_11</vt:lpstr>
      <vt:lpstr>Top_12</vt:lpstr>
      <vt:lpstr>Top_13</vt:lpstr>
      <vt:lpstr>Top_14</vt:lpstr>
      <vt:lpstr>Top_15</vt:lpstr>
      <vt:lpstr>Top_16</vt:lpstr>
      <vt:lpstr>Top_17</vt:lpstr>
      <vt:lpstr>Top_18</vt:lpstr>
      <vt:lpstr>Top_19</vt:lpstr>
      <vt:lpstr>Top_2</vt:lpstr>
      <vt:lpstr>Top_20</vt:lpstr>
      <vt:lpstr>Top_21</vt:lpstr>
      <vt:lpstr>Top_22</vt:lpstr>
      <vt:lpstr>Top_23</vt:lpstr>
      <vt:lpstr>Top_24</vt:lpstr>
      <vt:lpstr>Top_25</vt:lpstr>
      <vt:lpstr>Top_26</vt:lpstr>
      <vt:lpstr>Top_27</vt:lpstr>
      <vt:lpstr>Top_28</vt:lpstr>
      <vt:lpstr>Top_29</vt:lpstr>
      <vt:lpstr>Top_3</vt:lpstr>
      <vt:lpstr>Top_30</vt:lpstr>
      <vt:lpstr>Top_4</vt:lpstr>
      <vt:lpstr>Top_5</vt:lpstr>
      <vt:lpstr>Top_6</vt:lpstr>
      <vt:lpstr>Top_7</vt:lpstr>
      <vt:lpstr>Top_8</vt:lpstr>
      <vt:lpstr>Top_9</vt:lpstr>
      <vt:lpstr>TopV_1</vt:lpstr>
      <vt:lpstr>TopV_10</vt:lpstr>
      <vt:lpstr>TopV_11</vt:lpstr>
      <vt:lpstr>TopV_12</vt:lpstr>
      <vt:lpstr>TopV_13</vt:lpstr>
      <vt:lpstr>TopV_14</vt:lpstr>
      <vt:lpstr>TopV_15</vt:lpstr>
      <vt:lpstr>TopV_16</vt:lpstr>
      <vt:lpstr>TopV_17</vt:lpstr>
      <vt:lpstr>TopV_18</vt:lpstr>
      <vt:lpstr>TopV_19</vt:lpstr>
      <vt:lpstr>TopV_2</vt:lpstr>
      <vt:lpstr>TopV_20</vt:lpstr>
      <vt:lpstr>TopV_21</vt:lpstr>
      <vt:lpstr>TopV_22</vt:lpstr>
      <vt:lpstr>TopV_23</vt:lpstr>
      <vt:lpstr>TopV_24</vt:lpstr>
      <vt:lpstr>TopV_25</vt:lpstr>
      <vt:lpstr>TopV_26</vt:lpstr>
      <vt:lpstr>TopV_27</vt:lpstr>
      <vt:lpstr>TopV_28</vt:lpstr>
      <vt:lpstr>TopV_29</vt:lpstr>
      <vt:lpstr>TopV_3</vt:lpstr>
      <vt:lpstr>TopV_30</vt:lpstr>
      <vt:lpstr>TopV_4</vt:lpstr>
      <vt:lpstr>TopV_5</vt:lpstr>
      <vt:lpstr>TopV_6</vt:lpstr>
      <vt:lpstr>TopV_7</vt:lpstr>
      <vt:lpstr>TopV_8</vt:lpstr>
      <vt:lpstr>TopV_9</vt:lpstr>
      <vt:lpstr>TSK_1</vt:lpstr>
      <vt:lpstr>TSK_2</vt:lpstr>
      <vt:lpstr>TSK_3</vt:lpstr>
      <vt:lpstr>TSK_4</vt:lpstr>
      <vt:lpstr>TSS_1</vt:lpstr>
      <vt:lpstr>TSS_2</vt:lpstr>
      <vt:lpstr>TSS_3</vt:lpstr>
      <vt:lpstr>TSS_4</vt:lpstr>
      <vt:lpstr>TSS_5</vt:lpstr>
      <vt:lpstr>TSS_6</vt:lpstr>
      <vt:lpstr>TSS_7</vt:lpstr>
      <vt:lpstr>TSV_1</vt:lpstr>
      <vt:lpstr>TSV_2</vt:lpstr>
      <vt:lpstr>TSV_3</vt:lpstr>
      <vt:lpstr>TSV_4</vt:lpstr>
      <vt:lpstr>V_1</vt:lpstr>
      <vt:lpstr>V_2</vt:lpstr>
      <vt:lpstr>V_3</vt:lpstr>
      <vt:lpstr>V_4</vt:lpstr>
      <vt:lpstr>value_1</vt:lpstr>
      <vt:lpstr>value_2</vt:lpstr>
      <vt:lpstr>value_3</vt:lpstr>
      <vt:lpstr>value_4</vt:lpstr>
      <vt:lpstr>VK_1</vt:lpstr>
      <vt:lpstr>VK_2</vt:lpstr>
      <vt:lpstr>VK_3</vt:lpstr>
      <vt:lpstr>VK_4</vt:lpstr>
      <vt:lpstr>VS_1</vt:lpstr>
      <vt:lpstr>VS_2</vt:lpstr>
      <vt:lpstr>VS_3</vt:lpstr>
      <vt:lpstr>VS_4</vt:lpstr>
      <vt:lpstr>VS_5</vt:lpstr>
      <vt:lpstr>VS_6</vt:lpstr>
      <vt:lpstr>VS_7</vt:lpstr>
      <vt:lpstr>VV_1</vt:lpstr>
      <vt:lpstr>VV_2</vt:lpstr>
      <vt:lpstr>VV_3</vt:lpstr>
      <vt:lpstr>VV_4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Hussein Y. Abdallah</dc:creator>
  <cp:lastModifiedBy>Hussein Eledum</cp:lastModifiedBy>
  <cp:lastPrinted>2026-07-05T09:21:29Z</cp:lastPrinted>
  <dcterms:created xsi:type="dcterms:W3CDTF">2022-11-22T05:18:48Z</dcterms:created>
  <dcterms:modified xsi:type="dcterms:W3CDTF">2026-07-11T07:48:36Z</dcterms:modified>
</cp:coreProperties>
</file>